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ásCortésMartínez\Downloads\nitropricing\"/>
    </mc:Choice>
  </mc:AlternateContent>
  <xr:revisionPtr revIDLastSave="0" documentId="8_{C373B248-F046-43FD-880A-2A57C679AF66}" xr6:coauthVersionLast="47" xr6:coauthVersionMax="47" xr10:uidLastSave="{00000000-0000-0000-0000-000000000000}"/>
  <bookViews>
    <workbookView xWindow="8400" yWindow="2445" windowWidth="14655" windowHeight="10380" xr2:uid="{DFB36FC3-10D3-4E78-8427-3729222ADC84}"/>
  </bookViews>
  <sheets>
    <sheet name="Cockpit" sheetId="15" r:id="rId1"/>
    <sheet name="Resulting Overall Profits" sheetId="16" r:id="rId2"/>
    <sheet name="Graphs" sheetId="19" r:id="rId3"/>
    <sheet name="Stable Parameter Values --&gt;" sheetId="17" r:id="rId4"/>
    <sheet name="TEA values" sheetId="5" r:id="rId5"/>
    <sheet name="R&amp;D budget" sheetId="13" r:id="rId6"/>
    <sheet name="Bank loan" sheetId="14" r:id="rId7"/>
    <sheet name="Old Versions --&gt;" sheetId="18" r:id="rId8"/>
    <sheet name="Graphs for slides" sheetId="9" r:id="rId9"/>
    <sheet name="Backup" sheetId="20" r:id="rId10"/>
    <sheet name="Reference Case" sheetId="7" r:id="rId11"/>
  </sheets>
  <definedNames>
    <definedName name="_xlnm._FilterDatabase" localSheetId="10" hidden="1">'Reference Case'!$B$2:$BH$66</definedName>
    <definedName name="_xlnm._FilterDatabase" localSheetId="1" hidden="1">'Resulting Overall Profits'!$B$2:$AE$23</definedName>
    <definedName name="_xleta.SUM" hidden="1" xlm="1">#NAME?</definedName>
    <definedName name="_xleta.SUMIFS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1" i="15" l="1"/>
  <c r="J39" i="15"/>
  <c r="N130" i="15"/>
  <c r="H130" i="15"/>
  <c r="H129" i="15"/>
  <c r="P77" i="15"/>
  <c r="P129" i="15" s="1"/>
  <c r="Q77" i="15"/>
  <c r="Q129" i="15" s="1"/>
  <c r="R77" i="15"/>
  <c r="S77" i="15"/>
  <c r="S129" i="15" s="1"/>
  <c r="T77" i="15"/>
  <c r="T129" i="15" s="1"/>
  <c r="U77" i="15"/>
  <c r="U129" i="15" s="1"/>
  <c r="V77" i="15"/>
  <c r="W77" i="15"/>
  <c r="X77" i="15"/>
  <c r="Y77" i="15"/>
  <c r="Y129" i="15" s="1"/>
  <c r="Z77" i="15"/>
  <c r="Z129" i="15" s="1"/>
  <c r="AA77" i="15"/>
  <c r="AB77" i="15"/>
  <c r="AC77" i="15"/>
  <c r="AD77" i="15"/>
  <c r="AE77" i="15"/>
  <c r="AE129" i="15" s="1"/>
  <c r="R129" i="15"/>
  <c r="V129" i="15"/>
  <c r="W129" i="15"/>
  <c r="X129" i="15"/>
  <c r="AA129" i="15"/>
  <c r="AB129" i="15"/>
  <c r="AC129" i="15"/>
  <c r="AD129" i="15"/>
  <c r="P130" i="15"/>
  <c r="Q130" i="15"/>
  <c r="R130" i="15"/>
  <c r="S130" i="15"/>
  <c r="T130" i="15"/>
  <c r="U130" i="15"/>
  <c r="V130" i="15"/>
  <c r="W130" i="15"/>
  <c r="X130" i="15"/>
  <c r="Y130" i="15"/>
  <c r="Z130" i="15"/>
  <c r="AA130" i="15"/>
  <c r="AB130" i="15"/>
  <c r="AC130" i="15"/>
  <c r="AD130" i="15"/>
  <c r="AE130" i="15"/>
  <c r="M29" i="15"/>
  <c r="N29" i="15" s="1"/>
  <c r="O29" i="15" s="1"/>
  <c r="P29" i="15" s="1"/>
  <c r="J191" i="15"/>
  <c r="J275" i="15" s="1"/>
  <c r="I191" i="15"/>
  <c r="E111" i="15"/>
  <c r="R191" i="15"/>
  <c r="R275" i="15" s="1"/>
  <c r="S191" i="15"/>
  <c r="S273" i="15" s="1"/>
  <c r="T191" i="15"/>
  <c r="T273" i="15" s="1"/>
  <c r="U191" i="15"/>
  <c r="V191" i="15"/>
  <c r="W191" i="15"/>
  <c r="X191" i="15"/>
  <c r="X273" i="15" s="1"/>
  <c r="Y191" i="15"/>
  <c r="Y275" i="15" s="1"/>
  <c r="Z191" i="15"/>
  <c r="Z273" i="15" s="1"/>
  <c r="AA191" i="15"/>
  <c r="AA273" i="15" s="1"/>
  <c r="AB191" i="15"/>
  <c r="AB273" i="15" s="1"/>
  <c r="AC191" i="15"/>
  <c r="AD191" i="15"/>
  <c r="AE191" i="15"/>
  <c r="AE275" i="15" s="1"/>
  <c r="W275" i="15"/>
  <c r="E85" i="15"/>
  <c r="E101" i="15" s="1"/>
  <c r="E125" i="15"/>
  <c r="P121" i="15"/>
  <c r="Z121" i="15"/>
  <c r="AB121" i="15"/>
  <c r="F146" i="15"/>
  <c r="G146" i="15"/>
  <c r="H146" i="15"/>
  <c r="P146" i="15"/>
  <c r="Q146" i="15"/>
  <c r="R146" i="15"/>
  <c r="S146" i="15"/>
  <c r="T146" i="15"/>
  <c r="U146" i="15"/>
  <c r="V146" i="15"/>
  <c r="W146" i="15"/>
  <c r="X146" i="15"/>
  <c r="Y146" i="15"/>
  <c r="Z146" i="15"/>
  <c r="AA146" i="15"/>
  <c r="AB146" i="15"/>
  <c r="AC146" i="15"/>
  <c r="AD146" i="15"/>
  <c r="AE146" i="15"/>
  <c r="E146" i="15"/>
  <c r="E161" i="15" s="1"/>
  <c r="P112" i="15"/>
  <c r="Q93" i="15"/>
  <c r="F347" i="15"/>
  <c r="G347" i="15"/>
  <c r="H347" i="15"/>
  <c r="I347" i="15"/>
  <c r="H21" i="15"/>
  <c r="O11" i="20"/>
  <c r="P11" i="20" s="1"/>
  <c r="Q11" i="20" s="1"/>
  <c r="R11" i="20" s="1"/>
  <c r="S11" i="20" s="1"/>
  <c r="T11" i="20" s="1"/>
  <c r="U11" i="20" s="1"/>
  <c r="V11" i="20" s="1"/>
  <c r="W11" i="20" s="1"/>
  <c r="X11" i="20" s="1"/>
  <c r="Y11" i="20" s="1"/>
  <c r="Z11" i="20" s="1"/>
  <c r="AA11" i="20" s="1"/>
  <c r="AB11" i="20" s="1"/>
  <c r="AC11" i="20" s="1"/>
  <c r="AD11" i="20" s="1"/>
  <c r="G22" i="16"/>
  <c r="H22" i="16"/>
  <c r="AD345" i="15"/>
  <c r="AC22" i="16" s="1"/>
  <c r="AE345" i="15"/>
  <c r="AD22" i="16" s="1"/>
  <c r="P251" i="15"/>
  <c r="P317" i="15" s="1"/>
  <c r="Q251" i="15"/>
  <c r="Q317" i="15" s="1"/>
  <c r="R251" i="15"/>
  <c r="R317" i="15" s="1"/>
  <c r="S251" i="15"/>
  <c r="S317" i="15" s="1"/>
  <c r="T251" i="15"/>
  <c r="T317" i="15" s="1"/>
  <c r="U251" i="15"/>
  <c r="U317" i="15" s="1"/>
  <c r="V251" i="15"/>
  <c r="V317" i="15" s="1"/>
  <c r="W251" i="15"/>
  <c r="W317" i="15" s="1"/>
  <c r="X251" i="15"/>
  <c r="X317" i="15" s="1"/>
  <c r="Y251" i="15"/>
  <c r="Y317" i="15" s="1"/>
  <c r="Z251" i="15"/>
  <c r="Z317" i="15" s="1"/>
  <c r="AA251" i="15"/>
  <c r="AA317" i="15" s="1"/>
  <c r="AB251" i="15"/>
  <c r="AB317" i="15" s="1"/>
  <c r="AC251" i="15"/>
  <c r="AC317" i="15" s="1"/>
  <c r="AD251" i="15"/>
  <c r="AD317" i="15" s="1"/>
  <c r="AE251" i="15"/>
  <c r="AE317" i="15" s="1"/>
  <c r="P235" i="15"/>
  <c r="P295" i="15" s="1"/>
  <c r="Q235" i="15"/>
  <c r="Q295" i="15" s="1"/>
  <c r="R235" i="15"/>
  <c r="R295" i="15" s="1"/>
  <c r="S235" i="15"/>
  <c r="S295" i="15" s="1"/>
  <c r="T235" i="15"/>
  <c r="T295" i="15" s="1"/>
  <c r="U235" i="15"/>
  <c r="U295" i="15" s="1"/>
  <c r="V235" i="15"/>
  <c r="V295" i="15" s="1"/>
  <c r="W235" i="15"/>
  <c r="W295" i="15" s="1"/>
  <c r="X235" i="15"/>
  <c r="X295" i="15" s="1"/>
  <c r="Y235" i="15"/>
  <c r="Y295" i="15" s="1"/>
  <c r="Z235" i="15"/>
  <c r="Z295" i="15" s="1"/>
  <c r="AA235" i="15"/>
  <c r="AA295" i="15" s="1"/>
  <c r="AB235" i="15"/>
  <c r="AB295" i="15" s="1"/>
  <c r="AC235" i="15"/>
  <c r="AC295" i="15" s="1"/>
  <c r="AD235" i="15"/>
  <c r="AD295" i="15" s="1"/>
  <c r="AE235" i="15"/>
  <c r="AE295" i="15" s="1"/>
  <c r="P225" i="15"/>
  <c r="P290" i="15" s="1"/>
  <c r="Q225" i="15"/>
  <c r="Q290" i="15" s="1"/>
  <c r="R225" i="15"/>
  <c r="R290" i="15" s="1"/>
  <c r="S225" i="15"/>
  <c r="T225" i="15"/>
  <c r="T290" i="15" s="1"/>
  <c r="U225" i="15"/>
  <c r="U290" i="15" s="1"/>
  <c r="V225" i="15"/>
  <c r="V290" i="15" s="1"/>
  <c r="W225" i="15"/>
  <c r="W290" i="15" s="1"/>
  <c r="X225" i="15"/>
  <c r="X290" i="15" s="1"/>
  <c r="Y225" i="15"/>
  <c r="Y290" i="15" s="1"/>
  <c r="Z225" i="15"/>
  <c r="Z290" i="15" s="1"/>
  <c r="AA225" i="15"/>
  <c r="AA290" i="15" s="1"/>
  <c r="AB225" i="15"/>
  <c r="AB290" i="15" s="1"/>
  <c r="AC225" i="15"/>
  <c r="AC290" i="15" s="1"/>
  <c r="AD225" i="15"/>
  <c r="AD290" i="15" s="1"/>
  <c r="AE225" i="15"/>
  <c r="AE290" i="15" s="1"/>
  <c r="P216" i="15"/>
  <c r="Q216" i="15"/>
  <c r="R216" i="15"/>
  <c r="S216" i="15"/>
  <c r="T216" i="15"/>
  <c r="U216" i="15"/>
  <c r="V216" i="15"/>
  <c r="W216" i="15"/>
  <c r="X216" i="15"/>
  <c r="Y216" i="15"/>
  <c r="Z216" i="15"/>
  <c r="AA216" i="15"/>
  <c r="AB216" i="15"/>
  <c r="AC216" i="15"/>
  <c r="AD216" i="15"/>
  <c r="AE216" i="15"/>
  <c r="P206" i="15"/>
  <c r="Q206" i="15"/>
  <c r="R206" i="15"/>
  <c r="S206" i="15"/>
  <c r="T206" i="15"/>
  <c r="U206" i="15"/>
  <c r="V206" i="15"/>
  <c r="W206" i="15"/>
  <c r="X206" i="15"/>
  <c r="Y206" i="15"/>
  <c r="Z206" i="15"/>
  <c r="AA206" i="15"/>
  <c r="AB206" i="15"/>
  <c r="AC206" i="15"/>
  <c r="AD206" i="15"/>
  <c r="AE206" i="15"/>
  <c r="P191" i="15"/>
  <c r="P275" i="15" s="1"/>
  <c r="Q191" i="15"/>
  <c r="Q275" i="15" s="1"/>
  <c r="U273" i="15"/>
  <c r="V275" i="15"/>
  <c r="AC273" i="15"/>
  <c r="AD275" i="15"/>
  <c r="P181" i="15"/>
  <c r="P321" i="15" s="1"/>
  <c r="Q181" i="15"/>
  <c r="Q315" i="15" s="1"/>
  <c r="R181" i="15"/>
  <c r="R321" i="15" s="1"/>
  <c r="S181" i="15"/>
  <c r="S315" i="15" s="1"/>
  <c r="T181" i="15"/>
  <c r="T319" i="15" s="1"/>
  <c r="U181" i="15"/>
  <c r="U315" i="15" s="1"/>
  <c r="V181" i="15"/>
  <c r="V315" i="15" s="1"/>
  <c r="W181" i="15"/>
  <c r="W311" i="15" s="1"/>
  <c r="X181" i="15"/>
  <c r="X315" i="15" s="1"/>
  <c r="Y181" i="15"/>
  <c r="Y319" i="15" s="1"/>
  <c r="Z181" i="15"/>
  <c r="Z319" i="15" s="1"/>
  <c r="AA181" i="15"/>
  <c r="AA315" i="15" s="1"/>
  <c r="AB181" i="15"/>
  <c r="AB315" i="15" s="1"/>
  <c r="AC181" i="15"/>
  <c r="AC315" i="15" s="1"/>
  <c r="AD181" i="15"/>
  <c r="AD315" i="15" s="1"/>
  <c r="AE181" i="15"/>
  <c r="AE315" i="15" s="1"/>
  <c r="P24" i="15"/>
  <c r="P144" i="15" s="1"/>
  <c r="Q24" i="15"/>
  <c r="Q148" i="15" s="1"/>
  <c r="R24" i="15"/>
  <c r="R148" i="15" s="1"/>
  <c r="S24" i="15"/>
  <c r="S148" i="15" s="1"/>
  <c r="T24" i="15"/>
  <c r="T154" i="15" s="1"/>
  <c r="U24" i="15"/>
  <c r="V24" i="15"/>
  <c r="V148" i="15" s="1"/>
  <c r="W24" i="15"/>
  <c r="W148" i="15" s="1"/>
  <c r="X24" i="15"/>
  <c r="X152" i="15" s="1"/>
  <c r="Y24" i="15"/>
  <c r="Y152" i="15" s="1"/>
  <c r="Z24" i="15"/>
  <c r="Z148" i="15" s="1"/>
  <c r="AA24" i="15"/>
  <c r="AA148" i="15" s="1"/>
  <c r="AB24" i="15"/>
  <c r="AB154" i="15" s="1"/>
  <c r="AC24" i="15"/>
  <c r="AC148" i="15" s="1"/>
  <c r="AD24" i="15"/>
  <c r="AD148" i="15" s="1"/>
  <c r="AE24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P313" i="15"/>
  <c r="Q313" i="15"/>
  <c r="R313" i="15"/>
  <c r="S313" i="15"/>
  <c r="T313" i="15"/>
  <c r="U313" i="15"/>
  <c r="V313" i="15"/>
  <c r="W313" i="15"/>
  <c r="X313" i="15"/>
  <c r="Y313" i="15"/>
  <c r="Z313" i="15"/>
  <c r="AA313" i="15"/>
  <c r="AB313" i="15"/>
  <c r="AC313" i="15"/>
  <c r="AD313" i="15"/>
  <c r="AE313" i="15"/>
  <c r="P274" i="15"/>
  <c r="Q274" i="15"/>
  <c r="R274" i="15"/>
  <c r="S274" i="15"/>
  <c r="T274" i="15"/>
  <c r="U274" i="15"/>
  <c r="V274" i="15"/>
  <c r="W274" i="15"/>
  <c r="X274" i="15"/>
  <c r="Y274" i="15"/>
  <c r="Z274" i="15"/>
  <c r="AA274" i="15"/>
  <c r="AB274" i="15"/>
  <c r="AC274" i="15"/>
  <c r="AD274" i="15"/>
  <c r="AE274" i="15"/>
  <c r="P213" i="15"/>
  <c r="Q213" i="15"/>
  <c r="R213" i="15"/>
  <c r="S213" i="15"/>
  <c r="T213" i="15"/>
  <c r="U213" i="15"/>
  <c r="V213" i="15"/>
  <c r="W213" i="15"/>
  <c r="X213" i="15"/>
  <c r="Y213" i="15"/>
  <c r="Z213" i="15"/>
  <c r="AA213" i="15"/>
  <c r="AB213" i="15"/>
  <c r="AC213" i="15"/>
  <c r="AD213" i="15"/>
  <c r="AE213" i="15"/>
  <c r="P215" i="15"/>
  <c r="Q215" i="15"/>
  <c r="R215" i="15"/>
  <c r="S215" i="15"/>
  <c r="T215" i="15"/>
  <c r="U215" i="15"/>
  <c r="V215" i="15"/>
  <c r="W215" i="15"/>
  <c r="X215" i="15"/>
  <c r="Y215" i="15"/>
  <c r="Z215" i="15"/>
  <c r="AA215" i="15"/>
  <c r="AB215" i="15"/>
  <c r="AC215" i="15"/>
  <c r="AD215" i="15"/>
  <c r="AE215" i="15"/>
  <c r="P180" i="15"/>
  <c r="Q180" i="15"/>
  <c r="R180" i="15"/>
  <c r="S180" i="15"/>
  <c r="T180" i="15"/>
  <c r="U180" i="15"/>
  <c r="V180" i="15"/>
  <c r="W180" i="15"/>
  <c r="X180" i="15"/>
  <c r="Y180" i="15"/>
  <c r="Z180" i="15"/>
  <c r="AA180" i="15"/>
  <c r="AB180" i="15"/>
  <c r="AC180" i="15"/>
  <c r="AD180" i="15"/>
  <c r="AE180" i="15"/>
  <c r="P55" i="15"/>
  <c r="Q55" i="15"/>
  <c r="Q121" i="15" s="1"/>
  <c r="R55" i="15"/>
  <c r="R121" i="15" s="1"/>
  <c r="S55" i="15"/>
  <c r="S121" i="15" s="1"/>
  <c r="T55" i="15"/>
  <c r="T121" i="15" s="1"/>
  <c r="U55" i="15"/>
  <c r="U121" i="15" s="1"/>
  <c r="V55" i="15"/>
  <c r="V121" i="15" s="1"/>
  <c r="W55" i="15"/>
  <c r="W121" i="15" s="1"/>
  <c r="X55" i="15"/>
  <c r="X121" i="15" s="1"/>
  <c r="Y55" i="15"/>
  <c r="Y121" i="15" s="1"/>
  <c r="Z55" i="15"/>
  <c r="AA55" i="15"/>
  <c r="AA121" i="15" s="1"/>
  <c r="AB55" i="15"/>
  <c r="AC55" i="15"/>
  <c r="AC121" i="15" s="1"/>
  <c r="AD55" i="15"/>
  <c r="AD121" i="15" s="1"/>
  <c r="AE55" i="15"/>
  <c r="AE121" i="15" s="1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F125" i="15"/>
  <c r="G125" i="15"/>
  <c r="H125" i="15"/>
  <c r="P125" i="15"/>
  <c r="Q125" i="15"/>
  <c r="R125" i="15"/>
  <c r="S125" i="15"/>
  <c r="T125" i="15"/>
  <c r="U125" i="15"/>
  <c r="V125" i="15"/>
  <c r="W125" i="15"/>
  <c r="X125" i="15"/>
  <c r="Y125" i="15"/>
  <c r="Z125" i="15"/>
  <c r="AA125" i="15"/>
  <c r="AB125" i="15"/>
  <c r="AC125" i="15"/>
  <c r="AD125" i="15"/>
  <c r="AE125" i="15"/>
  <c r="F129" i="15"/>
  <c r="G129" i="15"/>
  <c r="E129" i="15"/>
  <c r="F295" i="15"/>
  <c r="G295" i="15"/>
  <c r="H295" i="15"/>
  <c r="E295" i="15"/>
  <c r="F290" i="15"/>
  <c r="G290" i="15"/>
  <c r="H290" i="15"/>
  <c r="S290" i="15"/>
  <c r="E290" i="15"/>
  <c r="F296" i="15"/>
  <c r="E296" i="15"/>
  <c r="E113" i="15"/>
  <c r="F275" i="15"/>
  <c r="G275" i="15"/>
  <c r="H275" i="15"/>
  <c r="I275" i="15"/>
  <c r="E275" i="15"/>
  <c r="F113" i="15"/>
  <c r="G113" i="15"/>
  <c r="H113" i="15"/>
  <c r="K112" i="15"/>
  <c r="F112" i="15"/>
  <c r="Z252" i="15"/>
  <c r="AA252" i="15"/>
  <c r="AB252" i="15"/>
  <c r="AC252" i="15"/>
  <c r="AD252" i="15"/>
  <c r="AE252" i="15"/>
  <c r="Y252" i="15"/>
  <c r="G252" i="15"/>
  <c r="H252" i="15"/>
  <c r="I252" i="15"/>
  <c r="J252" i="15"/>
  <c r="K252" i="15"/>
  <c r="L252" i="15"/>
  <c r="M252" i="15"/>
  <c r="N252" i="15"/>
  <c r="O252" i="15"/>
  <c r="P252" i="15"/>
  <c r="Q252" i="15"/>
  <c r="R252" i="15"/>
  <c r="S252" i="15"/>
  <c r="T252" i="15"/>
  <c r="U252" i="15"/>
  <c r="V252" i="15"/>
  <c r="W252" i="15"/>
  <c r="X252" i="15"/>
  <c r="E252" i="15"/>
  <c r="AC16" i="16"/>
  <c r="AD16" i="16"/>
  <c r="H352" i="15"/>
  <c r="G352" i="15"/>
  <c r="F352" i="15"/>
  <c r="E352" i="15"/>
  <c r="H351" i="15"/>
  <c r="G351" i="15"/>
  <c r="F351" i="15"/>
  <c r="E351" i="15"/>
  <c r="H350" i="15"/>
  <c r="G350" i="15"/>
  <c r="F350" i="15"/>
  <c r="E350" i="15"/>
  <c r="H349" i="15"/>
  <c r="G349" i="15"/>
  <c r="F349" i="15"/>
  <c r="E349" i="15"/>
  <c r="H348" i="15"/>
  <c r="G348" i="15"/>
  <c r="F348" i="15"/>
  <c r="E348" i="15"/>
  <c r="F10" i="16"/>
  <c r="D10" i="16"/>
  <c r="E10" i="16"/>
  <c r="S59" i="7"/>
  <c r="N8" i="16"/>
  <c r="M8" i="16"/>
  <c r="L8" i="16"/>
  <c r="K8" i="16"/>
  <c r="J8" i="16"/>
  <c r="I8" i="16"/>
  <c r="H8" i="16"/>
  <c r="G8" i="16"/>
  <c r="F8" i="16"/>
  <c r="E8" i="16"/>
  <c r="D8" i="16"/>
  <c r="E240" i="15"/>
  <c r="E271" i="15" s="1"/>
  <c r="E92" i="15"/>
  <c r="E86" i="15"/>
  <c r="E103" i="15" s="1"/>
  <c r="E83" i="15"/>
  <c r="E97" i="15" s="1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R253" i="15"/>
  <c r="S253" i="15"/>
  <c r="T253" i="15"/>
  <c r="U253" i="15"/>
  <c r="V253" i="15"/>
  <c r="W253" i="15"/>
  <c r="X253" i="15"/>
  <c r="Y253" i="15"/>
  <c r="Z253" i="15"/>
  <c r="AA253" i="15"/>
  <c r="AB253" i="15"/>
  <c r="AC253" i="15"/>
  <c r="AD253" i="15"/>
  <c r="AE253" i="15"/>
  <c r="E253" i="15"/>
  <c r="E93" i="15"/>
  <c r="F93" i="15"/>
  <c r="G93" i="15"/>
  <c r="H93" i="15"/>
  <c r="I93" i="15"/>
  <c r="J93" i="15"/>
  <c r="K93" i="15"/>
  <c r="L93" i="15"/>
  <c r="M93" i="15"/>
  <c r="N93" i="15"/>
  <c r="O93" i="15"/>
  <c r="R93" i="15"/>
  <c r="P9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F245" i="15"/>
  <c r="F263" i="15" s="1"/>
  <c r="G245" i="15"/>
  <c r="G263" i="15" s="1"/>
  <c r="H245" i="15"/>
  <c r="H263" i="15" s="1"/>
  <c r="I245" i="15"/>
  <c r="I263" i="15" s="1"/>
  <c r="J245" i="15"/>
  <c r="J263" i="15" s="1"/>
  <c r="K245" i="15"/>
  <c r="K263" i="15" s="1"/>
  <c r="L245" i="15"/>
  <c r="L263" i="15" s="1"/>
  <c r="M245" i="15"/>
  <c r="M263" i="15" s="1"/>
  <c r="N245" i="15"/>
  <c r="N263" i="15" s="1"/>
  <c r="O245" i="15"/>
  <c r="O263" i="15" s="1"/>
  <c r="P245" i="15"/>
  <c r="P263" i="15" s="1"/>
  <c r="Q245" i="15"/>
  <c r="Q263" i="15" s="1"/>
  <c r="R245" i="15"/>
  <c r="R263" i="15" s="1"/>
  <c r="S245" i="15"/>
  <c r="S263" i="15" s="1"/>
  <c r="T245" i="15"/>
  <c r="T263" i="15" s="1"/>
  <c r="U245" i="15"/>
  <c r="U263" i="15" s="1"/>
  <c r="V245" i="15"/>
  <c r="V263" i="15" s="1"/>
  <c r="W245" i="15"/>
  <c r="W263" i="15" s="1"/>
  <c r="X245" i="15"/>
  <c r="X263" i="15" s="1"/>
  <c r="Y245" i="15"/>
  <c r="Y263" i="15" s="1"/>
  <c r="Z245" i="15"/>
  <c r="Z263" i="15" s="1"/>
  <c r="AA245" i="15"/>
  <c r="AA263" i="15" s="1"/>
  <c r="AB245" i="15"/>
  <c r="AB263" i="15" s="1"/>
  <c r="AC245" i="15"/>
  <c r="AC263" i="15" s="1"/>
  <c r="AD245" i="15"/>
  <c r="AD263" i="15" s="1"/>
  <c r="AE245" i="15"/>
  <c r="AE263" i="15" s="1"/>
  <c r="E245" i="15"/>
  <c r="E263" i="15" s="1"/>
  <c r="F244" i="15"/>
  <c r="F261" i="15" s="1"/>
  <c r="G244" i="15"/>
  <c r="G261" i="15" s="1"/>
  <c r="H244" i="15"/>
  <c r="H261" i="15" s="1"/>
  <c r="I244" i="15"/>
  <c r="I261" i="15" s="1"/>
  <c r="J244" i="15"/>
  <c r="J261" i="15" s="1"/>
  <c r="K244" i="15"/>
  <c r="K261" i="15" s="1"/>
  <c r="L244" i="15"/>
  <c r="L261" i="15" s="1"/>
  <c r="M244" i="15"/>
  <c r="M261" i="15" s="1"/>
  <c r="N244" i="15"/>
  <c r="N261" i="15" s="1"/>
  <c r="O244" i="15"/>
  <c r="O261" i="15" s="1"/>
  <c r="P244" i="15"/>
  <c r="P261" i="15" s="1"/>
  <c r="Q244" i="15"/>
  <c r="Q261" i="15" s="1"/>
  <c r="R244" i="15"/>
  <c r="R261" i="15" s="1"/>
  <c r="S244" i="15"/>
  <c r="S261" i="15" s="1"/>
  <c r="T244" i="15"/>
  <c r="T261" i="15" s="1"/>
  <c r="U244" i="15"/>
  <c r="U261" i="15" s="1"/>
  <c r="V244" i="15"/>
  <c r="V261" i="15" s="1"/>
  <c r="W244" i="15"/>
  <c r="W261" i="15" s="1"/>
  <c r="X244" i="15"/>
  <c r="X261" i="15" s="1"/>
  <c r="Y244" i="15"/>
  <c r="Y261" i="15" s="1"/>
  <c r="Z244" i="15"/>
  <c r="Z261" i="15" s="1"/>
  <c r="AA244" i="15"/>
  <c r="AA261" i="15" s="1"/>
  <c r="AB244" i="15"/>
  <c r="AB261" i="15" s="1"/>
  <c r="AC244" i="15"/>
  <c r="AC261" i="15" s="1"/>
  <c r="AD244" i="15"/>
  <c r="AD261" i="15" s="1"/>
  <c r="AE244" i="15"/>
  <c r="AE261" i="15" s="1"/>
  <c r="E244" i="15"/>
  <c r="E261" i="15" s="1"/>
  <c r="F243" i="15"/>
  <c r="F288" i="15" s="1"/>
  <c r="G243" i="15"/>
  <c r="G288" i="15" s="1"/>
  <c r="H243" i="15"/>
  <c r="H288" i="15" s="1"/>
  <c r="I243" i="15"/>
  <c r="I288" i="15" s="1"/>
  <c r="J243" i="15"/>
  <c r="J288" i="15" s="1"/>
  <c r="K243" i="15"/>
  <c r="K288" i="15" s="1"/>
  <c r="L243" i="15"/>
  <c r="L288" i="15" s="1"/>
  <c r="M243" i="15"/>
  <c r="M288" i="15" s="1"/>
  <c r="N243" i="15"/>
  <c r="N288" i="15" s="1"/>
  <c r="O243" i="15"/>
  <c r="O288" i="15" s="1"/>
  <c r="P243" i="15"/>
  <c r="Q243" i="15"/>
  <c r="Q259" i="15" s="1"/>
  <c r="R243" i="15"/>
  <c r="S243" i="15"/>
  <c r="T243" i="15"/>
  <c r="U243" i="15"/>
  <c r="V243" i="15"/>
  <c r="W243" i="15"/>
  <c r="X243" i="15"/>
  <c r="Y243" i="15"/>
  <c r="Y259" i="15" s="1"/>
  <c r="Z243" i="15"/>
  <c r="AA243" i="15"/>
  <c r="AB243" i="15"/>
  <c r="AC243" i="15"/>
  <c r="AD243" i="15"/>
  <c r="AE243" i="15"/>
  <c r="E243" i="15"/>
  <c r="E288" i="15" s="1"/>
  <c r="F242" i="15"/>
  <c r="F257" i="15" s="1"/>
  <c r="G242" i="15"/>
  <c r="G257" i="15" s="1"/>
  <c r="H242" i="15"/>
  <c r="H257" i="15" s="1"/>
  <c r="I242" i="15"/>
  <c r="I257" i="15" s="1"/>
  <c r="J242" i="15"/>
  <c r="J257" i="15" s="1"/>
  <c r="K242" i="15"/>
  <c r="K257" i="15" s="1"/>
  <c r="L242" i="15"/>
  <c r="L257" i="15" s="1"/>
  <c r="M242" i="15"/>
  <c r="M257" i="15" s="1"/>
  <c r="N242" i="15"/>
  <c r="N257" i="15" s="1"/>
  <c r="O242" i="15"/>
  <c r="O257" i="15" s="1"/>
  <c r="P242" i="15"/>
  <c r="P257" i="15" s="1"/>
  <c r="Q242" i="15"/>
  <c r="Q257" i="15" s="1"/>
  <c r="R242" i="15"/>
  <c r="R257" i="15" s="1"/>
  <c r="S242" i="15"/>
  <c r="S257" i="15" s="1"/>
  <c r="T242" i="15"/>
  <c r="T257" i="15" s="1"/>
  <c r="U242" i="15"/>
  <c r="U257" i="15" s="1"/>
  <c r="V242" i="15"/>
  <c r="V257" i="15" s="1"/>
  <c r="W242" i="15"/>
  <c r="W257" i="15" s="1"/>
  <c r="X242" i="15"/>
  <c r="X257" i="15" s="1"/>
  <c r="Y242" i="15"/>
  <c r="Y257" i="15" s="1"/>
  <c r="Z242" i="15"/>
  <c r="Z257" i="15" s="1"/>
  <c r="AA242" i="15"/>
  <c r="AA257" i="15" s="1"/>
  <c r="AB242" i="15"/>
  <c r="AB257" i="15" s="1"/>
  <c r="AC242" i="15"/>
  <c r="AC257" i="15" s="1"/>
  <c r="AD242" i="15"/>
  <c r="AD257" i="15" s="1"/>
  <c r="AE242" i="15"/>
  <c r="AE257" i="15" s="1"/>
  <c r="E242" i="15"/>
  <c r="E257" i="15" s="1"/>
  <c r="F241" i="15"/>
  <c r="F255" i="15" s="1"/>
  <c r="G241" i="15"/>
  <c r="G255" i="15" s="1"/>
  <c r="H241" i="15"/>
  <c r="H255" i="15" s="1"/>
  <c r="I241" i="15"/>
  <c r="I255" i="15" s="1"/>
  <c r="J241" i="15"/>
  <c r="J255" i="15" s="1"/>
  <c r="K241" i="15"/>
  <c r="K255" i="15" s="1"/>
  <c r="L241" i="15"/>
  <c r="L255" i="15" s="1"/>
  <c r="M241" i="15"/>
  <c r="M255" i="15" s="1"/>
  <c r="N241" i="15"/>
  <c r="N255" i="15" s="1"/>
  <c r="O241" i="15"/>
  <c r="O255" i="15" s="1"/>
  <c r="P241" i="15"/>
  <c r="P255" i="15" s="1"/>
  <c r="Q241" i="15"/>
  <c r="Q255" i="15" s="1"/>
  <c r="R241" i="15"/>
  <c r="R255" i="15" s="1"/>
  <c r="S241" i="15"/>
  <c r="S255" i="15" s="1"/>
  <c r="T241" i="15"/>
  <c r="T255" i="15" s="1"/>
  <c r="U241" i="15"/>
  <c r="U255" i="15" s="1"/>
  <c r="V241" i="15"/>
  <c r="V255" i="15" s="1"/>
  <c r="W241" i="15"/>
  <c r="W255" i="15" s="1"/>
  <c r="X241" i="15"/>
  <c r="X255" i="15" s="1"/>
  <c r="Y241" i="15"/>
  <c r="Y255" i="15" s="1"/>
  <c r="Z241" i="15"/>
  <c r="Z255" i="15" s="1"/>
  <c r="AA241" i="15"/>
  <c r="AA255" i="15" s="1"/>
  <c r="AB241" i="15"/>
  <c r="AB255" i="15" s="1"/>
  <c r="AC241" i="15"/>
  <c r="AC255" i="15" s="1"/>
  <c r="AD241" i="15"/>
  <c r="AD255" i="15" s="1"/>
  <c r="AE241" i="15"/>
  <c r="AE255" i="15" s="1"/>
  <c r="E241" i="15"/>
  <c r="E255" i="15" s="1"/>
  <c r="F240" i="15"/>
  <c r="F271" i="15" s="1"/>
  <c r="G240" i="15"/>
  <c r="H240" i="15"/>
  <c r="H271" i="15" s="1"/>
  <c r="I240" i="15"/>
  <c r="I271" i="15" s="1"/>
  <c r="J240" i="15"/>
  <c r="J271" i="15" s="1"/>
  <c r="K240" i="15"/>
  <c r="K271" i="15" s="1"/>
  <c r="L240" i="15"/>
  <c r="L271" i="15" s="1"/>
  <c r="M240" i="15"/>
  <c r="M271" i="15" s="1"/>
  <c r="N240" i="15"/>
  <c r="N271" i="15" s="1"/>
  <c r="O240" i="15"/>
  <c r="P240" i="15"/>
  <c r="Q240" i="15"/>
  <c r="R240" i="15"/>
  <c r="S240" i="15"/>
  <c r="T240" i="15"/>
  <c r="U240" i="15"/>
  <c r="V240" i="15"/>
  <c r="W240" i="15"/>
  <c r="X240" i="15"/>
  <c r="Y240" i="15"/>
  <c r="Y249" i="15" s="1"/>
  <c r="Z240" i="15"/>
  <c r="AA240" i="15"/>
  <c r="AB240" i="15"/>
  <c r="AC240" i="15"/>
  <c r="AD240" i="15"/>
  <c r="AE240" i="15"/>
  <c r="F86" i="15"/>
  <c r="F103" i="15" s="1"/>
  <c r="G86" i="15"/>
  <c r="G103" i="15" s="1"/>
  <c r="H86" i="15"/>
  <c r="H103" i="15" s="1"/>
  <c r="I86" i="15"/>
  <c r="I103" i="15" s="1"/>
  <c r="J86" i="15"/>
  <c r="J103" i="15" s="1"/>
  <c r="K86" i="15"/>
  <c r="K103" i="15" s="1"/>
  <c r="L86" i="15"/>
  <c r="L103" i="15" s="1"/>
  <c r="M86" i="15"/>
  <c r="M103" i="15" s="1"/>
  <c r="N86" i="15"/>
  <c r="N103" i="15" s="1"/>
  <c r="O86" i="15"/>
  <c r="O103" i="15" s="1"/>
  <c r="P86" i="15"/>
  <c r="P103" i="15" s="1"/>
  <c r="Q86" i="15"/>
  <c r="Q103" i="15" s="1"/>
  <c r="R86" i="15"/>
  <c r="R103" i="15" s="1"/>
  <c r="S86" i="15"/>
  <c r="S103" i="15" s="1"/>
  <c r="T86" i="15"/>
  <c r="T103" i="15" s="1"/>
  <c r="U86" i="15"/>
  <c r="U103" i="15" s="1"/>
  <c r="V86" i="15"/>
  <c r="V103" i="15" s="1"/>
  <c r="W86" i="15"/>
  <c r="W103" i="15" s="1"/>
  <c r="X86" i="15"/>
  <c r="X103" i="15" s="1"/>
  <c r="Y86" i="15"/>
  <c r="Y103" i="15" s="1"/>
  <c r="Z86" i="15"/>
  <c r="Z103" i="15" s="1"/>
  <c r="AA86" i="15"/>
  <c r="AA103" i="15" s="1"/>
  <c r="AB86" i="15"/>
  <c r="AB103" i="15" s="1"/>
  <c r="AC86" i="15"/>
  <c r="AC103" i="15" s="1"/>
  <c r="AD86" i="15"/>
  <c r="AD103" i="15" s="1"/>
  <c r="AE86" i="15"/>
  <c r="AE103" i="15" s="1"/>
  <c r="F85" i="15"/>
  <c r="F101" i="15" s="1"/>
  <c r="G85" i="15"/>
  <c r="G101" i="15" s="1"/>
  <c r="H85" i="15"/>
  <c r="H101" i="15" s="1"/>
  <c r="I85" i="15"/>
  <c r="I101" i="15" s="1"/>
  <c r="J85" i="15"/>
  <c r="J101" i="15" s="1"/>
  <c r="K85" i="15"/>
  <c r="K101" i="15" s="1"/>
  <c r="L85" i="15"/>
  <c r="L101" i="15" s="1"/>
  <c r="M85" i="15"/>
  <c r="M101" i="15" s="1"/>
  <c r="N85" i="15"/>
  <c r="N101" i="15" s="1"/>
  <c r="O85" i="15"/>
  <c r="O101" i="15" s="1"/>
  <c r="P85" i="15"/>
  <c r="P101" i="15" s="1"/>
  <c r="Q85" i="15"/>
  <c r="Q101" i="15" s="1"/>
  <c r="R85" i="15"/>
  <c r="R101" i="15" s="1"/>
  <c r="S85" i="15"/>
  <c r="S101" i="15" s="1"/>
  <c r="T85" i="15"/>
  <c r="T101" i="15" s="1"/>
  <c r="U85" i="15"/>
  <c r="U101" i="15" s="1"/>
  <c r="V85" i="15"/>
  <c r="V101" i="15" s="1"/>
  <c r="W85" i="15"/>
  <c r="W101" i="15" s="1"/>
  <c r="X85" i="15"/>
  <c r="X101" i="15" s="1"/>
  <c r="Y85" i="15"/>
  <c r="Y101" i="15" s="1"/>
  <c r="Z85" i="15"/>
  <c r="Z101" i="15" s="1"/>
  <c r="AA85" i="15"/>
  <c r="AA101" i="15" s="1"/>
  <c r="AB85" i="15"/>
  <c r="AB101" i="15" s="1"/>
  <c r="AC85" i="15"/>
  <c r="AC101" i="15" s="1"/>
  <c r="AD85" i="15"/>
  <c r="AD101" i="15" s="1"/>
  <c r="AE85" i="15"/>
  <c r="AE101" i="15" s="1"/>
  <c r="F84" i="15"/>
  <c r="F123" i="15" s="1"/>
  <c r="G84" i="15"/>
  <c r="H84" i="15"/>
  <c r="I84" i="15"/>
  <c r="I123" i="15" s="1"/>
  <c r="J84" i="15"/>
  <c r="J123" i="15" s="1"/>
  <c r="K84" i="15"/>
  <c r="K123" i="15" s="1"/>
  <c r="L84" i="15"/>
  <c r="L123" i="15" s="1"/>
  <c r="M84" i="15"/>
  <c r="M123" i="15" s="1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E84" i="15"/>
  <c r="E123" i="15" s="1"/>
  <c r="Y83" i="15"/>
  <c r="Y97" i="15" s="1"/>
  <c r="Z83" i="15"/>
  <c r="Z97" i="15" s="1"/>
  <c r="AA83" i="15"/>
  <c r="AA97" i="15" s="1"/>
  <c r="AB83" i="15"/>
  <c r="AB97" i="15" s="1"/>
  <c r="AC83" i="15"/>
  <c r="AC97" i="15" s="1"/>
  <c r="AD83" i="15"/>
  <c r="AD97" i="15" s="1"/>
  <c r="AE83" i="15"/>
  <c r="AE97" i="15" s="1"/>
  <c r="F83" i="15"/>
  <c r="F97" i="15" s="1"/>
  <c r="G83" i="15"/>
  <c r="G97" i="15" s="1"/>
  <c r="H83" i="15"/>
  <c r="H97" i="15" s="1"/>
  <c r="I83" i="15"/>
  <c r="I97" i="15" s="1"/>
  <c r="J83" i="15"/>
  <c r="J97" i="15" s="1"/>
  <c r="K83" i="15"/>
  <c r="K97" i="15" s="1"/>
  <c r="L83" i="15"/>
  <c r="L97" i="15" s="1"/>
  <c r="M83" i="15"/>
  <c r="M97" i="15" s="1"/>
  <c r="N83" i="15"/>
  <c r="N97" i="15" s="1"/>
  <c r="O83" i="15"/>
  <c r="O97" i="15" s="1"/>
  <c r="P83" i="15"/>
  <c r="P97" i="15" s="1"/>
  <c r="Q83" i="15"/>
  <c r="Q97" i="15" s="1"/>
  <c r="R83" i="15"/>
  <c r="R97" i="15" s="1"/>
  <c r="S83" i="15"/>
  <c r="S97" i="15" s="1"/>
  <c r="T83" i="15"/>
  <c r="T97" i="15" s="1"/>
  <c r="U83" i="15"/>
  <c r="U97" i="15" s="1"/>
  <c r="V83" i="15"/>
  <c r="V97" i="15" s="1"/>
  <c r="W83" i="15"/>
  <c r="W97" i="15" s="1"/>
  <c r="X83" i="15"/>
  <c r="X97" i="15" s="1"/>
  <c r="E82" i="15"/>
  <c r="E95" i="15" s="1"/>
  <c r="F82" i="15"/>
  <c r="F95" i="15" s="1"/>
  <c r="G82" i="15"/>
  <c r="G95" i="15" s="1"/>
  <c r="H82" i="15"/>
  <c r="H95" i="15" s="1"/>
  <c r="I82" i="15"/>
  <c r="I95" i="15" s="1"/>
  <c r="J82" i="15"/>
  <c r="J95" i="15" s="1"/>
  <c r="K82" i="15"/>
  <c r="K95" i="15" s="1"/>
  <c r="L82" i="15"/>
  <c r="L95" i="15" s="1"/>
  <c r="M82" i="15"/>
  <c r="M95" i="15" s="1"/>
  <c r="N82" i="15"/>
  <c r="N95" i="15" s="1"/>
  <c r="O82" i="15"/>
  <c r="O95" i="15" s="1"/>
  <c r="P82" i="15"/>
  <c r="P95" i="15" s="1"/>
  <c r="Q82" i="15"/>
  <c r="Q95" i="15" s="1"/>
  <c r="R82" i="15"/>
  <c r="R95" i="15" s="1"/>
  <c r="S82" i="15"/>
  <c r="S95" i="15" s="1"/>
  <c r="T82" i="15"/>
  <c r="T95" i="15" s="1"/>
  <c r="U82" i="15"/>
  <c r="U95" i="15" s="1"/>
  <c r="V82" i="15"/>
  <c r="V95" i="15" s="1"/>
  <c r="W82" i="15"/>
  <c r="W95" i="15" s="1"/>
  <c r="X82" i="15"/>
  <c r="X95" i="15" s="1"/>
  <c r="Y82" i="15"/>
  <c r="Y95" i="15" s="1"/>
  <c r="Z82" i="15"/>
  <c r="Z95" i="15" s="1"/>
  <c r="AA82" i="15"/>
  <c r="AA95" i="15" s="1"/>
  <c r="AB82" i="15"/>
  <c r="AB95" i="15" s="1"/>
  <c r="AC82" i="15"/>
  <c r="AC95" i="15" s="1"/>
  <c r="AD82" i="15"/>
  <c r="AD95" i="15" s="1"/>
  <c r="AE82" i="15"/>
  <c r="AE95" i="15" s="1"/>
  <c r="K81" i="15"/>
  <c r="L81" i="15"/>
  <c r="L108" i="15" s="1"/>
  <c r="M81" i="15"/>
  <c r="N81" i="15"/>
  <c r="N108" i="15" s="1"/>
  <c r="O81" i="15"/>
  <c r="O108" i="15" s="1"/>
  <c r="P81" i="15"/>
  <c r="P108" i="15" s="1"/>
  <c r="F81" i="15"/>
  <c r="F108" i="15" s="1"/>
  <c r="G81" i="15"/>
  <c r="G108" i="15" s="1"/>
  <c r="H81" i="15"/>
  <c r="H108" i="15" s="1"/>
  <c r="I108" i="15"/>
  <c r="J81" i="15"/>
  <c r="E81" i="15"/>
  <c r="F252" i="15"/>
  <c r="F111" i="15"/>
  <c r="G111" i="15"/>
  <c r="H111" i="15"/>
  <c r="E273" i="15"/>
  <c r="F273" i="15"/>
  <c r="G273" i="15"/>
  <c r="H273" i="15"/>
  <c r="I273" i="15"/>
  <c r="J273" i="15"/>
  <c r="F251" i="15"/>
  <c r="F317" i="15" s="1"/>
  <c r="G251" i="15"/>
  <c r="G317" i="15" s="1"/>
  <c r="H251" i="15"/>
  <c r="H317" i="15" s="1"/>
  <c r="I251" i="15"/>
  <c r="I317" i="15" s="1"/>
  <c r="J251" i="15"/>
  <c r="K251" i="15"/>
  <c r="L251" i="15"/>
  <c r="L317" i="15" s="1"/>
  <c r="M251" i="15"/>
  <c r="M317" i="15" s="1"/>
  <c r="N251" i="15"/>
  <c r="N317" i="15" s="1"/>
  <c r="O251" i="15"/>
  <c r="O317" i="15" s="1"/>
  <c r="E251" i="15"/>
  <c r="O191" i="15"/>
  <c r="O273" i="15" s="1"/>
  <c r="N191" i="15"/>
  <c r="N273" i="15" s="1"/>
  <c r="M191" i="15"/>
  <c r="M273" i="15" s="1"/>
  <c r="L191" i="15"/>
  <c r="L273" i="15" s="1"/>
  <c r="K191" i="15"/>
  <c r="K275" i="15" s="1"/>
  <c r="H321" i="15"/>
  <c r="G321" i="15"/>
  <c r="F321" i="15"/>
  <c r="E321" i="15"/>
  <c r="E336" i="15" s="1"/>
  <c r="H319" i="15"/>
  <c r="G319" i="15"/>
  <c r="F319" i="15"/>
  <c r="E319" i="15"/>
  <c r="E317" i="15"/>
  <c r="H315" i="15"/>
  <c r="G315" i="15"/>
  <c r="F315" i="15"/>
  <c r="E315" i="15"/>
  <c r="E330" i="15" s="1"/>
  <c r="F330" i="15" s="1"/>
  <c r="O313" i="15"/>
  <c r="N313" i="15"/>
  <c r="M313" i="15"/>
  <c r="L313" i="15"/>
  <c r="K313" i="15"/>
  <c r="J313" i="15"/>
  <c r="I313" i="15"/>
  <c r="H313" i="15"/>
  <c r="G313" i="15"/>
  <c r="F313" i="15"/>
  <c r="E313" i="15"/>
  <c r="E328" i="15" s="1"/>
  <c r="H311" i="15"/>
  <c r="H322" i="15" s="1"/>
  <c r="G311" i="15"/>
  <c r="G322" i="15" s="1"/>
  <c r="F311" i="15"/>
  <c r="E311" i="15"/>
  <c r="O296" i="15"/>
  <c r="N296" i="15"/>
  <c r="M296" i="15"/>
  <c r="L296" i="15"/>
  <c r="K296" i="15"/>
  <c r="J296" i="15"/>
  <c r="I296" i="15"/>
  <c r="H296" i="15"/>
  <c r="G296" i="15"/>
  <c r="O291" i="15"/>
  <c r="N291" i="15"/>
  <c r="M291" i="15"/>
  <c r="L291" i="15"/>
  <c r="K291" i="15"/>
  <c r="J291" i="15"/>
  <c r="I291" i="15"/>
  <c r="H291" i="15"/>
  <c r="G291" i="15"/>
  <c r="F291" i="15"/>
  <c r="E291" i="15"/>
  <c r="O287" i="15"/>
  <c r="N287" i="15"/>
  <c r="M287" i="15"/>
  <c r="L287" i="15"/>
  <c r="K287" i="15"/>
  <c r="J287" i="15"/>
  <c r="I287" i="15"/>
  <c r="H287" i="15"/>
  <c r="G287" i="15"/>
  <c r="F287" i="15"/>
  <c r="E287" i="15"/>
  <c r="O274" i="15"/>
  <c r="N274" i="15"/>
  <c r="M274" i="15"/>
  <c r="L274" i="15"/>
  <c r="K274" i="15"/>
  <c r="J274" i="15"/>
  <c r="I274" i="15"/>
  <c r="H274" i="15"/>
  <c r="G274" i="15"/>
  <c r="F274" i="15"/>
  <c r="E274" i="15"/>
  <c r="O235" i="15"/>
  <c r="O295" i="15" s="1"/>
  <c r="N235" i="15"/>
  <c r="N295" i="15" s="1"/>
  <c r="M235" i="15"/>
  <c r="M295" i="15" s="1"/>
  <c r="L235" i="15"/>
  <c r="L295" i="15" s="1"/>
  <c r="K235" i="15"/>
  <c r="K295" i="15" s="1"/>
  <c r="J235" i="15"/>
  <c r="J295" i="15" s="1"/>
  <c r="I235" i="15"/>
  <c r="I295" i="15" s="1"/>
  <c r="O225" i="15"/>
  <c r="O290" i="15" s="1"/>
  <c r="N225" i="15"/>
  <c r="N290" i="15" s="1"/>
  <c r="M225" i="15"/>
  <c r="M290" i="15" s="1"/>
  <c r="L225" i="15"/>
  <c r="L290" i="15" s="1"/>
  <c r="K225" i="15"/>
  <c r="K290" i="15" s="1"/>
  <c r="J225" i="15"/>
  <c r="J290" i="15" s="1"/>
  <c r="I225" i="15"/>
  <c r="I290" i="15" s="1"/>
  <c r="O216" i="15"/>
  <c r="N216" i="15"/>
  <c r="M216" i="15"/>
  <c r="L216" i="15"/>
  <c r="K216" i="15"/>
  <c r="J216" i="15"/>
  <c r="I216" i="15"/>
  <c r="O215" i="15"/>
  <c r="N215" i="15"/>
  <c r="M215" i="15"/>
  <c r="L215" i="15"/>
  <c r="K215" i="15"/>
  <c r="J215" i="15"/>
  <c r="I215" i="15"/>
  <c r="H215" i="15"/>
  <c r="G215" i="15"/>
  <c r="F215" i="15"/>
  <c r="E215" i="15"/>
  <c r="O213" i="15"/>
  <c r="N213" i="15"/>
  <c r="M213" i="15"/>
  <c r="L213" i="15"/>
  <c r="K213" i="15"/>
  <c r="J213" i="15"/>
  <c r="I213" i="15"/>
  <c r="H213" i="15"/>
  <c r="G213" i="15"/>
  <c r="F213" i="15"/>
  <c r="E213" i="15"/>
  <c r="O206" i="15"/>
  <c r="N206" i="15"/>
  <c r="M206" i="15"/>
  <c r="L206" i="15"/>
  <c r="K206" i="15"/>
  <c r="J206" i="15"/>
  <c r="I206" i="15"/>
  <c r="O197" i="15"/>
  <c r="N197" i="15"/>
  <c r="M197" i="15"/>
  <c r="L197" i="15"/>
  <c r="K197" i="15"/>
  <c r="J197" i="15"/>
  <c r="I197" i="15"/>
  <c r="O181" i="15"/>
  <c r="O311" i="15" s="1"/>
  <c r="N181" i="15"/>
  <c r="N311" i="15" s="1"/>
  <c r="M181" i="15"/>
  <c r="M319" i="15" s="1"/>
  <c r="L181" i="15"/>
  <c r="L319" i="15" s="1"/>
  <c r="K181" i="15"/>
  <c r="K315" i="15" s="1"/>
  <c r="J181" i="15"/>
  <c r="J321" i="15" s="1"/>
  <c r="I181" i="15"/>
  <c r="I311" i="15" s="1"/>
  <c r="O180" i="15"/>
  <c r="N180" i="15"/>
  <c r="M180" i="15"/>
  <c r="L180" i="15"/>
  <c r="K180" i="15"/>
  <c r="J180" i="15"/>
  <c r="I180" i="15"/>
  <c r="H180" i="15"/>
  <c r="G180" i="15"/>
  <c r="F180" i="15"/>
  <c r="E180" i="15"/>
  <c r="O178" i="15"/>
  <c r="N178" i="15"/>
  <c r="M178" i="15"/>
  <c r="L178" i="15"/>
  <c r="K178" i="15"/>
  <c r="J178" i="15"/>
  <c r="I178" i="15"/>
  <c r="H178" i="15"/>
  <c r="G178" i="15"/>
  <c r="F178" i="15"/>
  <c r="E178" i="15"/>
  <c r="E144" i="15"/>
  <c r="E159" i="15" s="1"/>
  <c r="F144" i="15"/>
  <c r="G144" i="15"/>
  <c r="E148" i="15"/>
  <c r="F148" i="15"/>
  <c r="G148" i="15"/>
  <c r="H148" i="15"/>
  <c r="O77" i="15"/>
  <c r="O129" i="15" s="1"/>
  <c r="N77" i="15"/>
  <c r="N129" i="15" s="1"/>
  <c r="M77" i="15"/>
  <c r="M129" i="15" s="1"/>
  <c r="L77" i="15"/>
  <c r="L129" i="15" s="1"/>
  <c r="K77" i="15"/>
  <c r="K129" i="15" s="1"/>
  <c r="J77" i="15"/>
  <c r="J129" i="15" s="1"/>
  <c r="I77" i="15"/>
  <c r="I129" i="15" s="1"/>
  <c r="I67" i="15"/>
  <c r="I125" i="15" s="1"/>
  <c r="O67" i="15"/>
  <c r="O125" i="15" s="1"/>
  <c r="N67" i="15"/>
  <c r="N125" i="15" s="1"/>
  <c r="M67" i="15"/>
  <c r="M125" i="15" s="1"/>
  <c r="L67" i="15"/>
  <c r="L125" i="15" s="1"/>
  <c r="K67" i="15"/>
  <c r="K125" i="15" s="1"/>
  <c r="J67" i="15"/>
  <c r="J125" i="15" s="1"/>
  <c r="I48" i="15"/>
  <c r="I58" i="15"/>
  <c r="I121" i="15" s="1"/>
  <c r="O58" i="15"/>
  <c r="O121" i="15" s="1"/>
  <c r="N58" i="15"/>
  <c r="M58" i="15"/>
  <c r="L58" i="15"/>
  <c r="K58" i="15"/>
  <c r="J58" i="15"/>
  <c r="J121" i="15" s="1"/>
  <c r="O48" i="15"/>
  <c r="N48" i="15"/>
  <c r="M48" i="15"/>
  <c r="L48" i="15"/>
  <c r="K48" i="15"/>
  <c r="J48" i="15"/>
  <c r="I39" i="15"/>
  <c r="I146" i="15" s="1"/>
  <c r="I33" i="15"/>
  <c r="I113" i="15" s="1"/>
  <c r="I24" i="15"/>
  <c r="I148" i="15" s="1"/>
  <c r="O39" i="15"/>
  <c r="O146" i="15" s="1"/>
  <c r="N39" i="15"/>
  <c r="N146" i="15" s="1"/>
  <c r="M39" i="15"/>
  <c r="M146" i="15" s="1"/>
  <c r="L39" i="15"/>
  <c r="L146" i="15" s="1"/>
  <c r="K39" i="15"/>
  <c r="K146" i="15" s="1"/>
  <c r="J146" i="15"/>
  <c r="O24" i="15"/>
  <c r="N24" i="15"/>
  <c r="N152" i="15" s="1"/>
  <c r="M24" i="15"/>
  <c r="M152" i="15" s="1"/>
  <c r="L24" i="15"/>
  <c r="L154" i="15" s="1"/>
  <c r="K24" i="15"/>
  <c r="K152" i="15" s="1"/>
  <c r="J24" i="15"/>
  <c r="J148" i="15" s="1"/>
  <c r="J33" i="15"/>
  <c r="J111" i="15" s="1"/>
  <c r="F130" i="15"/>
  <c r="G130" i="15"/>
  <c r="I130" i="15"/>
  <c r="J130" i="15"/>
  <c r="K130" i="15"/>
  <c r="L130" i="15"/>
  <c r="M130" i="15"/>
  <c r="O130" i="15"/>
  <c r="E130" i="15"/>
  <c r="E154" i="15"/>
  <c r="F154" i="15"/>
  <c r="G154" i="15"/>
  <c r="H154" i="15"/>
  <c r="F126" i="15"/>
  <c r="G126" i="15"/>
  <c r="H126" i="15"/>
  <c r="I126" i="15"/>
  <c r="J126" i="15"/>
  <c r="K126" i="15"/>
  <c r="L126" i="15"/>
  <c r="M126" i="15"/>
  <c r="N126" i="15"/>
  <c r="O126" i="15"/>
  <c r="E126" i="15"/>
  <c r="O122" i="15"/>
  <c r="I122" i="15"/>
  <c r="J122" i="15"/>
  <c r="K122" i="15"/>
  <c r="L122" i="15"/>
  <c r="M122" i="15"/>
  <c r="N122" i="15"/>
  <c r="E112" i="15"/>
  <c r="F152" i="15"/>
  <c r="G152" i="15"/>
  <c r="H152" i="15"/>
  <c r="E152" i="15"/>
  <c r="E150" i="15"/>
  <c r="E165" i="15" s="1"/>
  <c r="G112" i="15"/>
  <c r="H112" i="15"/>
  <c r="I112" i="15"/>
  <c r="J112" i="15"/>
  <c r="L112" i="15"/>
  <c r="M112" i="15"/>
  <c r="N112" i="15"/>
  <c r="O112" i="15"/>
  <c r="I57" i="15"/>
  <c r="J57" i="15"/>
  <c r="K57" i="15"/>
  <c r="L57" i="15"/>
  <c r="M57" i="15"/>
  <c r="N57" i="15"/>
  <c r="O57" i="15"/>
  <c r="E57" i="15"/>
  <c r="F57" i="15"/>
  <c r="G57" i="15"/>
  <c r="N55" i="15"/>
  <c r="O55" i="15"/>
  <c r="J55" i="15"/>
  <c r="K55" i="15"/>
  <c r="L55" i="15"/>
  <c r="M55" i="15"/>
  <c r="E55" i="15"/>
  <c r="E121" i="15" s="1"/>
  <c r="F55" i="15"/>
  <c r="F121" i="15" s="1"/>
  <c r="G55" i="15"/>
  <c r="G121" i="15" s="1"/>
  <c r="E21" i="15"/>
  <c r="F21" i="15"/>
  <c r="G21" i="15"/>
  <c r="E23" i="15"/>
  <c r="F23" i="15"/>
  <c r="G23" i="15"/>
  <c r="H23" i="15"/>
  <c r="I23" i="15"/>
  <c r="J23" i="15"/>
  <c r="K23" i="15"/>
  <c r="L23" i="15"/>
  <c r="M23" i="15"/>
  <c r="N23" i="15"/>
  <c r="O23" i="15"/>
  <c r="J21" i="15"/>
  <c r="K21" i="15"/>
  <c r="L21" i="15"/>
  <c r="M21" i="15"/>
  <c r="N21" i="15"/>
  <c r="O21" i="15"/>
  <c r="K92" i="15"/>
  <c r="L92" i="15"/>
  <c r="F92" i="15"/>
  <c r="F150" i="15" s="1"/>
  <c r="G92" i="15"/>
  <c r="G150" i="15" s="1"/>
  <c r="H92" i="15"/>
  <c r="I92" i="15"/>
  <c r="H57" i="15"/>
  <c r="I55" i="15"/>
  <c r="H55" i="15"/>
  <c r="H121" i="15" s="1"/>
  <c r="H144" i="15"/>
  <c r="J92" i="15"/>
  <c r="J150" i="15" s="1"/>
  <c r="K121" i="15" l="1"/>
  <c r="L121" i="15"/>
  <c r="M121" i="15"/>
  <c r="N121" i="15"/>
  <c r="E118" i="15"/>
  <c r="E115" i="15"/>
  <c r="H131" i="15"/>
  <c r="H109" i="15"/>
  <c r="AE118" i="15"/>
  <c r="J118" i="15"/>
  <c r="Q112" i="15"/>
  <c r="P92" i="15"/>
  <c r="P150" i="15" s="1"/>
  <c r="Q29" i="15"/>
  <c r="E322" i="15"/>
  <c r="F322" i="15"/>
  <c r="F169" i="15"/>
  <c r="G169" i="15" s="1"/>
  <c r="I99" i="15"/>
  <c r="Z259" i="15"/>
  <c r="R259" i="15"/>
  <c r="AE347" i="15"/>
  <c r="AD347" i="15"/>
  <c r="AC347" i="15"/>
  <c r="U347" i="15"/>
  <c r="M347" i="15"/>
  <c r="AB347" i="15"/>
  <c r="T347" i="15"/>
  <c r="L347" i="15"/>
  <c r="K347" i="15"/>
  <c r="S347" i="15"/>
  <c r="Z347" i="15"/>
  <c r="R347" i="15"/>
  <c r="J347" i="15"/>
  <c r="Y347" i="15"/>
  <c r="Q347" i="15"/>
  <c r="X347" i="15"/>
  <c r="P347" i="15"/>
  <c r="AA347" i="15"/>
  <c r="W347" i="15"/>
  <c r="O347" i="15"/>
  <c r="V347" i="15"/>
  <c r="N347" i="15"/>
  <c r="AA275" i="15"/>
  <c r="AB99" i="15"/>
  <c r="T99" i="15"/>
  <c r="AB152" i="15"/>
  <c r="T311" i="15"/>
  <c r="AA249" i="15"/>
  <c r="S249" i="15"/>
  <c r="AA285" i="15"/>
  <c r="T285" i="15"/>
  <c r="AB285" i="15"/>
  <c r="AA311" i="15"/>
  <c r="S275" i="15"/>
  <c r="S311" i="15"/>
  <c r="AA259" i="15"/>
  <c r="S259" i="15"/>
  <c r="AB148" i="15"/>
  <c r="AA99" i="15"/>
  <c r="S99" i="15"/>
  <c r="S285" i="15"/>
  <c r="Z99" i="15"/>
  <c r="R99" i="15"/>
  <c r="R315" i="15"/>
  <c r="Q249" i="15"/>
  <c r="Q264" i="15" s="1"/>
  <c r="Y154" i="15"/>
  <c r="P273" i="15"/>
  <c r="AD249" i="15"/>
  <c r="V249" i="15"/>
  <c r="AD259" i="15"/>
  <c r="V259" i="15"/>
  <c r="P319" i="15"/>
  <c r="V285" i="15"/>
  <c r="X319" i="15"/>
  <c r="P152" i="15"/>
  <c r="X275" i="15"/>
  <c r="X148" i="15"/>
  <c r="X311" i="15"/>
  <c r="AC259" i="15"/>
  <c r="U259" i="15"/>
  <c r="T275" i="15"/>
  <c r="T152" i="15"/>
  <c r="U311" i="15"/>
  <c r="AB311" i="15"/>
  <c r="AB275" i="15"/>
  <c r="AC311" i="15"/>
  <c r="F328" i="15"/>
  <c r="G328" i="15" s="1"/>
  <c r="H328" i="15" s="1"/>
  <c r="G330" i="15"/>
  <c r="H330" i="15" s="1"/>
  <c r="F336" i="15"/>
  <c r="G336" i="15" s="1"/>
  <c r="H336" i="15" s="1"/>
  <c r="E332" i="15"/>
  <c r="E334" i="15"/>
  <c r="F334" i="15" s="1"/>
  <c r="E326" i="15"/>
  <c r="F165" i="15"/>
  <c r="G165" i="15" s="1"/>
  <c r="F161" i="15"/>
  <c r="F159" i="15"/>
  <c r="J285" i="15"/>
  <c r="AD311" i="15"/>
  <c r="T148" i="15"/>
  <c r="P99" i="15"/>
  <c r="G285" i="15"/>
  <c r="X99" i="15"/>
  <c r="H285" i="15"/>
  <c r="Z285" i="15"/>
  <c r="R285" i="15"/>
  <c r="Y99" i="15"/>
  <c r="Q99" i="15"/>
  <c r="Z275" i="15"/>
  <c r="R273" i="15"/>
  <c r="R319" i="15"/>
  <c r="P315" i="15"/>
  <c r="Y285" i="15"/>
  <c r="Q285" i="15"/>
  <c r="E167" i="15"/>
  <c r="P311" i="15"/>
  <c r="AE99" i="15"/>
  <c r="W99" i="15"/>
  <c r="X154" i="15"/>
  <c r="Z321" i="15"/>
  <c r="M285" i="15"/>
  <c r="R311" i="15"/>
  <c r="P154" i="15"/>
  <c r="P148" i="15"/>
  <c r="X285" i="15"/>
  <c r="X321" i="15"/>
  <c r="E163" i="15"/>
  <c r="AB249" i="15"/>
  <c r="T249" i="15"/>
  <c r="L285" i="15"/>
  <c r="F285" i="15"/>
  <c r="Z315" i="15"/>
  <c r="Z311" i="15"/>
  <c r="Z322" i="15" s="1"/>
  <c r="Z249" i="15"/>
  <c r="R249" i="15"/>
  <c r="Y311" i="15"/>
  <c r="Q152" i="15"/>
  <c r="Q273" i="15"/>
  <c r="Q321" i="15"/>
  <c r="Q319" i="15"/>
  <c r="Y315" i="15"/>
  <c r="P285" i="15"/>
  <c r="Q311" i="15"/>
  <c r="Q154" i="15"/>
  <c r="AB321" i="15"/>
  <c r="AB319" i="15"/>
  <c r="T315" i="15"/>
  <c r="AD285" i="15"/>
  <c r="E285" i="15"/>
  <c r="N285" i="15"/>
  <c r="Y148" i="15"/>
  <c r="Y273" i="15"/>
  <c r="O285" i="15"/>
  <c r="AD99" i="15"/>
  <c r="V99" i="15"/>
  <c r="Y321" i="15"/>
  <c r="K285" i="15"/>
  <c r="I285" i="15"/>
  <c r="T321" i="15"/>
  <c r="V311" i="15"/>
  <c r="AD273" i="15"/>
  <c r="U275" i="15"/>
  <c r="AC275" i="15"/>
  <c r="V273" i="15"/>
  <c r="AC285" i="15"/>
  <c r="U285" i="15"/>
  <c r="X249" i="15"/>
  <c r="P249" i="15"/>
  <c r="X259" i="15"/>
  <c r="P259" i="15"/>
  <c r="Q144" i="15"/>
  <c r="Q81" i="15"/>
  <c r="Q90" i="15" s="1"/>
  <c r="R81" i="15"/>
  <c r="R90" i="15" s="1"/>
  <c r="R144" i="15"/>
  <c r="S81" i="15"/>
  <c r="S90" i="15" s="1"/>
  <c r="T81" i="15"/>
  <c r="T109" i="15" s="1"/>
  <c r="AE285" i="15"/>
  <c r="W285" i="15"/>
  <c r="AE273" i="15"/>
  <c r="W273" i="15"/>
  <c r="AE311" i="15"/>
  <c r="AE321" i="15"/>
  <c r="W321" i="15"/>
  <c r="AE319" i="15"/>
  <c r="W319" i="15"/>
  <c r="W315" i="15"/>
  <c r="W322" i="15" s="1"/>
  <c r="AD321" i="15"/>
  <c r="V321" i="15"/>
  <c r="AD319" i="15"/>
  <c r="V319" i="15"/>
  <c r="AC321" i="15"/>
  <c r="U321" i="15"/>
  <c r="AC319" i="15"/>
  <c r="U319" i="15"/>
  <c r="AA321" i="15"/>
  <c r="S321" i="15"/>
  <c r="AA319" i="15"/>
  <c r="S319" i="15"/>
  <c r="AE154" i="15"/>
  <c r="W154" i="15"/>
  <c r="AE152" i="15"/>
  <c r="W152" i="15"/>
  <c r="AE148" i="15"/>
  <c r="AD154" i="15"/>
  <c r="V154" i="15"/>
  <c r="AD152" i="15"/>
  <c r="V152" i="15"/>
  <c r="AC154" i="15"/>
  <c r="U154" i="15"/>
  <c r="AC152" i="15"/>
  <c r="U152" i="15"/>
  <c r="U148" i="15"/>
  <c r="S144" i="15"/>
  <c r="AA154" i="15"/>
  <c r="S154" i="15"/>
  <c r="AA152" i="15"/>
  <c r="S152" i="15"/>
  <c r="Z154" i="15"/>
  <c r="R154" i="15"/>
  <c r="Z152" i="15"/>
  <c r="R152" i="15"/>
  <c r="AB259" i="15"/>
  <c r="T259" i="15"/>
  <c r="AE259" i="15"/>
  <c r="W259" i="15"/>
  <c r="AE249" i="15"/>
  <c r="W249" i="15"/>
  <c r="AC249" i="15"/>
  <c r="U249" i="15"/>
  <c r="AC99" i="15"/>
  <c r="U99" i="15"/>
  <c r="E277" i="15"/>
  <c r="AC281" i="15"/>
  <c r="U281" i="15"/>
  <c r="M281" i="15"/>
  <c r="AB281" i="15"/>
  <c r="T281" i="15"/>
  <c r="L281" i="15"/>
  <c r="S281" i="15"/>
  <c r="Z281" i="15"/>
  <c r="R281" i="15"/>
  <c r="J281" i="15"/>
  <c r="AA281" i="15"/>
  <c r="K281" i="15"/>
  <c r="Y281" i="15"/>
  <c r="Q281" i="15"/>
  <c r="I281" i="15"/>
  <c r="X281" i="15"/>
  <c r="P281" i="15"/>
  <c r="H281" i="15"/>
  <c r="AE281" i="15"/>
  <c r="W281" i="15"/>
  <c r="O281" i="15"/>
  <c r="G281" i="15"/>
  <c r="AD281" i="15"/>
  <c r="V281" i="15"/>
  <c r="N281" i="15"/>
  <c r="F281" i="15"/>
  <c r="E281" i="15"/>
  <c r="E283" i="15"/>
  <c r="AC118" i="15"/>
  <c r="U118" i="15"/>
  <c r="M118" i="15"/>
  <c r="AB118" i="15"/>
  <c r="T118" i="15"/>
  <c r="L118" i="15"/>
  <c r="AA118" i="15"/>
  <c r="S118" i="15"/>
  <c r="K118" i="15"/>
  <c r="Z118" i="15"/>
  <c r="R118" i="15"/>
  <c r="Y118" i="15"/>
  <c r="Q118" i="15"/>
  <c r="I118" i="15"/>
  <c r="X118" i="15"/>
  <c r="P118" i="15"/>
  <c r="H118" i="15"/>
  <c r="W118" i="15"/>
  <c r="O118" i="15"/>
  <c r="G118" i="15"/>
  <c r="AD118" i="15"/>
  <c r="V118" i="15"/>
  <c r="N118" i="15"/>
  <c r="F118" i="15"/>
  <c r="AC298" i="15"/>
  <c r="U298" i="15"/>
  <c r="M298" i="15"/>
  <c r="AB298" i="15"/>
  <c r="T298" i="15"/>
  <c r="L298" i="15"/>
  <c r="AA298" i="15"/>
  <c r="S298" i="15"/>
  <c r="K298" i="15"/>
  <c r="Z298" i="15"/>
  <c r="R298" i="15"/>
  <c r="J298" i="15"/>
  <c r="Y298" i="15"/>
  <c r="Q298" i="15"/>
  <c r="I298" i="15"/>
  <c r="X298" i="15"/>
  <c r="P298" i="15"/>
  <c r="H298" i="15"/>
  <c r="AE298" i="15"/>
  <c r="W298" i="15"/>
  <c r="O298" i="15"/>
  <c r="G298" i="15"/>
  <c r="AD298" i="15"/>
  <c r="V298" i="15"/>
  <c r="N298" i="15"/>
  <c r="F298" i="15"/>
  <c r="E298" i="15"/>
  <c r="AA293" i="15"/>
  <c r="S293" i="15"/>
  <c r="K293" i="15"/>
  <c r="AC293" i="15"/>
  <c r="U293" i="15"/>
  <c r="M293" i="15"/>
  <c r="AB293" i="15"/>
  <c r="T293" i="15"/>
  <c r="L293" i="15"/>
  <c r="Z293" i="15"/>
  <c r="R293" i="15"/>
  <c r="J293" i="15"/>
  <c r="Y293" i="15"/>
  <c r="Q293" i="15"/>
  <c r="I293" i="15"/>
  <c r="X293" i="15"/>
  <c r="P293" i="15"/>
  <c r="H293" i="15"/>
  <c r="AE293" i="15"/>
  <c r="W293" i="15"/>
  <c r="O293" i="15"/>
  <c r="G293" i="15"/>
  <c r="AD293" i="15"/>
  <c r="V293" i="15"/>
  <c r="N293" i="15"/>
  <c r="F293" i="15"/>
  <c r="AA288" i="15"/>
  <c r="E293" i="15"/>
  <c r="U288" i="15"/>
  <c r="S288" i="15"/>
  <c r="AC288" i="15"/>
  <c r="AB288" i="15"/>
  <c r="T288" i="15"/>
  <c r="R288" i="15"/>
  <c r="Y288" i="15"/>
  <c r="Q288" i="15"/>
  <c r="X288" i="15"/>
  <c r="P288" i="15"/>
  <c r="AE288" i="15"/>
  <c r="W288" i="15"/>
  <c r="Z288" i="15"/>
  <c r="AD288" i="15"/>
  <c r="V288" i="15"/>
  <c r="E116" i="15"/>
  <c r="AE348" i="15"/>
  <c r="AE349" i="15"/>
  <c r="AE352" i="15"/>
  <c r="H90" i="15"/>
  <c r="O275" i="15"/>
  <c r="N275" i="15"/>
  <c r="J113" i="15"/>
  <c r="M275" i="15"/>
  <c r="AD350" i="15"/>
  <c r="AD351" i="15"/>
  <c r="L275" i="15"/>
  <c r="AE351" i="15"/>
  <c r="E90" i="15"/>
  <c r="O249" i="15"/>
  <c r="G249" i="15"/>
  <c r="E259" i="15"/>
  <c r="H259" i="15"/>
  <c r="AE350" i="15"/>
  <c r="M90" i="15"/>
  <c r="H99" i="15"/>
  <c r="AD349" i="15"/>
  <c r="J90" i="15"/>
  <c r="L90" i="15"/>
  <c r="O99" i="15"/>
  <c r="G99" i="15"/>
  <c r="K90" i="15"/>
  <c r="N99" i="15"/>
  <c r="Z283" i="15"/>
  <c r="R283" i="15"/>
  <c r="Y283" i="15"/>
  <c r="Q283" i="15"/>
  <c r="I283" i="15"/>
  <c r="X283" i="15"/>
  <c r="P283" i="15"/>
  <c r="AE283" i="15"/>
  <c r="W283" i="15"/>
  <c r="O283" i="15"/>
  <c r="AD283" i="15"/>
  <c r="V283" i="15"/>
  <c r="N283" i="15"/>
  <c r="AC283" i="15"/>
  <c r="U283" i="15"/>
  <c r="M283" i="15"/>
  <c r="AB283" i="15"/>
  <c r="T283" i="15"/>
  <c r="L283" i="15"/>
  <c r="AA283" i="15"/>
  <c r="S283" i="15"/>
  <c r="K283" i="15"/>
  <c r="J283" i="15"/>
  <c r="H283" i="15"/>
  <c r="G283" i="15"/>
  <c r="F283" i="15"/>
  <c r="AC279" i="15"/>
  <c r="U279" i="15"/>
  <c r="M279" i="15"/>
  <c r="AB279" i="15"/>
  <c r="T279" i="15"/>
  <c r="L279" i="15"/>
  <c r="AA279" i="15"/>
  <c r="S279" i="15"/>
  <c r="K279" i="15"/>
  <c r="Z279" i="15"/>
  <c r="R279" i="15"/>
  <c r="J279" i="15"/>
  <c r="Y279" i="15"/>
  <c r="Q279" i="15"/>
  <c r="I279" i="15"/>
  <c r="X279" i="15"/>
  <c r="P279" i="15"/>
  <c r="H279" i="15"/>
  <c r="AE279" i="15"/>
  <c r="W279" i="15"/>
  <c r="O279" i="15"/>
  <c r="G279" i="15"/>
  <c r="AD279" i="15"/>
  <c r="V279" i="15"/>
  <c r="N279" i="15"/>
  <c r="F279" i="15"/>
  <c r="E279" i="15"/>
  <c r="AC271" i="15"/>
  <c r="AA271" i="15"/>
  <c r="U271" i="15"/>
  <c r="S271" i="15"/>
  <c r="AB271" i="15"/>
  <c r="T271" i="15"/>
  <c r="Z271" i="15"/>
  <c r="R271" i="15"/>
  <c r="Y271" i="15"/>
  <c r="Q271" i="15"/>
  <c r="X271" i="15"/>
  <c r="P271" i="15"/>
  <c r="AE271" i="15"/>
  <c r="W271" i="15"/>
  <c r="O271" i="15"/>
  <c r="G271" i="15"/>
  <c r="AD271" i="15"/>
  <c r="V271" i="15"/>
  <c r="AA131" i="15"/>
  <c r="S131" i="15"/>
  <c r="K131" i="15"/>
  <c r="AC131" i="15"/>
  <c r="U131" i="15"/>
  <c r="M131" i="15"/>
  <c r="AB131" i="15"/>
  <c r="T131" i="15"/>
  <c r="L131" i="15"/>
  <c r="Z131" i="15"/>
  <c r="R131" i="15"/>
  <c r="J131" i="15"/>
  <c r="Y131" i="15"/>
  <c r="Q131" i="15"/>
  <c r="I131" i="15"/>
  <c r="X131" i="15"/>
  <c r="P131" i="15"/>
  <c r="AE131" i="15"/>
  <c r="W131" i="15"/>
  <c r="O131" i="15"/>
  <c r="G131" i="15"/>
  <c r="AD131" i="15"/>
  <c r="V131" i="15"/>
  <c r="N131" i="15"/>
  <c r="F131" i="15"/>
  <c r="AA127" i="15"/>
  <c r="S127" i="15"/>
  <c r="K127" i="15"/>
  <c r="E131" i="15"/>
  <c r="AC127" i="15"/>
  <c r="U127" i="15"/>
  <c r="M127" i="15"/>
  <c r="AB127" i="15"/>
  <c r="T127" i="15"/>
  <c r="L127" i="15"/>
  <c r="Z127" i="15"/>
  <c r="R127" i="15"/>
  <c r="J127" i="15"/>
  <c r="Y127" i="15"/>
  <c r="Q127" i="15"/>
  <c r="I127" i="15"/>
  <c r="X127" i="15"/>
  <c r="P127" i="15"/>
  <c r="H127" i="15"/>
  <c r="AE127" i="15"/>
  <c r="W127" i="15"/>
  <c r="O127" i="15"/>
  <c r="G127" i="15"/>
  <c r="AD127" i="15"/>
  <c r="V127" i="15"/>
  <c r="N127" i="15"/>
  <c r="F127" i="15"/>
  <c r="E127" i="15"/>
  <c r="AC123" i="15"/>
  <c r="AB123" i="15"/>
  <c r="U123" i="15"/>
  <c r="T123" i="15"/>
  <c r="AE123" i="15"/>
  <c r="AA123" i="15"/>
  <c r="S123" i="15"/>
  <c r="Z123" i="15"/>
  <c r="R123" i="15"/>
  <c r="X123" i="15"/>
  <c r="P123" i="15"/>
  <c r="H123" i="15"/>
  <c r="Y123" i="15"/>
  <c r="W123" i="15"/>
  <c r="O123" i="15"/>
  <c r="G123" i="15"/>
  <c r="Q123" i="15"/>
  <c r="AD123" i="15"/>
  <c r="V123" i="15"/>
  <c r="N123" i="15"/>
  <c r="AB119" i="15"/>
  <c r="AC119" i="15"/>
  <c r="U119" i="15"/>
  <c r="T119" i="15"/>
  <c r="M119" i="15"/>
  <c r="L119" i="15"/>
  <c r="AA119" i="15"/>
  <c r="S119" i="15"/>
  <c r="K119" i="15"/>
  <c r="Z119" i="15"/>
  <c r="R119" i="15"/>
  <c r="J119" i="15"/>
  <c r="Y119" i="15"/>
  <c r="Q119" i="15"/>
  <c r="I119" i="15"/>
  <c r="X119" i="15"/>
  <c r="P119" i="15"/>
  <c r="H119" i="15"/>
  <c r="AE119" i="15"/>
  <c r="W119" i="15"/>
  <c r="O119" i="15"/>
  <c r="G119" i="15"/>
  <c r="AD119" i="15"/>
  <c r="V119" i="15"/>
  <c r="N119" i="15"/>
  <c r="F119" i="15"/>
  <c r="U116" i="15"/>
  <c r="E119" i="15"/>
  <c r="AC116" i="15"/>
  <c r="Y116" i="15"/>
  <c r="Q116" i="15"/>
  <c r="M116" i="15"/>
  <c r="I116" i="15"/>
  <c r="AB116" i="15"/>
  <c r="L116" i="15"/>
  <c r="AA116" i="15"/>
  <c r="S116" i="15"/>
  <c r="K116" i="15"/>
  <c r="T116" i="15"/>
  <c r="Z116" i="15"/>
  <c r="R116" i="15"/>
  <c r="J116" i="15"/>
  <c r="X116" i="15"/>
  <c r="P116" i="15"/>
  <c r="H116" i="15"/>
  <c r="AE116" i="15"/>
  <c r="W116" i="15"/>
  <c r="O116" i="15"/>
  <c r="G116" i="15"/>
  <c r="AD116" i="15"/>
  <c r="V116" i="15"/>
  <c r="N116" i="15"/>
  <c r="F116" i="15"/>
  <c r="E109" i="15"/>
  <c r="AC115" i="15"/>
  <c r="U115" i="15"/>
  <c r="M115" i="15"/>
  <c r="AB115" i="15"/>
  <c r="T115" i="15"/>
  <c r="L115" i="15"/>
  <c r="AA115" i="15"/>
  <c r="S115" i="15"/>
  <c r="K115" i="15"/>
  <c r="Z115" i="15"/>
  <c r="R115" i="15"/>
  <c r="J115" i="15"/>
  <c r="Y115" i="15"/>
  <c r="Q115" i="15"/>
  <c r="I115" i="15"/>
  <c r="X115" i="15"/>
  <c r="P115" i="15"/>
  <c r="H115" i="15"/>
  <c r="AE115" i="15"/>
  <c r="W115" i="15"/>
  <c r="O115" i="15"/>
  <c r="G115" i="15"/>
  <c r="AD115" i="15"/>
  <c r="V115" i="15"/>
  <c r="N115" i="15"/>
  <c r="F115" i="15"/>
  <c r="E108" i="15"/>
  <c r="M109" i="15"/>
  <c r="K109" i="15"/>
  <c r="L109" i="15"/>
  <c r="J109" i="15"/>
  <c r="I109" i="15"/>
  <c r="P109" i="15"/>
  <c r="O109" i="15"/>
  <c r="G109" i="15"/>
  <c r="N109" i="15"/>
  <c r="F109" i="15"/>
  <c r="M108" i="15"/>
  <c r="K108" i="15"/>
  <c r="J108" i="15"/>
  <c r="AD352" i="15"/>
  <c r="Z350" i="15"/>
  <c r="AC349" i="15"/>
  <c r="AB352" i="15"/>
  <c r="M99" i="15"/>
  <c r="L249" i="15"/>
  <c r="M259" i="15"/>
  <c r="O259" i="15"/>
  <c r="G90" i="15"/>
  <c r="L99" i="15"/>
  <c r="K249" i="15"/>
  <c r="L259" i="15"/>
  <c r="N249" i="15"/>
  <c r="G259" i="15"/>
  <c r="F259" i="15"/>
  <c r="Y348" i="15"/>
  <c r="F90" i="15"/>
  <c r="P90" i="15"/>
  <c r="K99" i="15"/>
  <c r="J249" i="15"/>
  <c r="K259" i="15"/>
  <c r="E99" i="15"/>
  <c r="F249" i="15"/>
  <c r="AD348" i="15"/>
  <c r="W351" i="15"/>
  <c r="N259" i="15"/>
  <c r="O90" i="15"/>
  <c r="J99" i="15"/>
  <c r="I249" i="15"/>
  <c r="J259" i="15"/>
  <c r="F99" i="15"/>
  <c r="M249" i="15"/>
  <c r="E249" i="15"/>
  <c r="N90" i="15"/>
  <c r="H249" i="15"/>
  <c r="I259" i="15"/>
  <c r="H353" i="15"/>
  <c r="G12" i="16" s="1"/>
  <c r="F353" i="15"/>
  <c r="E12" i="16" s="1"/>
  <c r="E353" i="15"/>
  <c r="D12" i="16" s="1"/>
  <c r="G353" i="15"/>
  <c r="F12" i="16" s="1"/>
  <c r="AC350" i="15"/>
  <c r="M352" i="15"/>
  <c r="O352" i="15"/>
  <c r="U352" i="15"/>
  <c r="W352" i="15"/>
  <c r="AC352" i="15"/>
  <c r="R351" i="15"/>
  <c r="X351" i="15"/>
  <c r="Z351" i="15"/>
  <c r="P351" i="15"/>
  <c r="J351" i="15"/>
  <c r="M350" i="15"/>
  <c r="O350" i="15"/>
  <c r="U350" i="15"/>
  <c r="W350" i="15"/>
  <c r="N349" i="15"/>
  <c r="O349" i="15"/>
  <c r="P349" i="15"/>
  <c r="V349" i="15"/>
  <c r="W349" i="15"/>
  <c r="X349" i="15"/>
  <c r="AA348" i="15"/>
  <c r="J348" i="15"/>
  <c r="AB348" i="15"/>
  <c r="K348" i="15"/>
  <c r="L348" i="15"/>
  <c r="R348" i="15"/>
  <c r="S348" i="15"/>
  <c r="T348" i="15"/>
  <c r="Z348" i="15"/>
  <c r="N352" i="15"/>
  <c r="V352" i="15"/>
  <c r="P352" i="15"/>
  <c r="X352" i="15"/>
  <c r="I352" i="15"/>
  <c r="Q352" i="15"/>
  <c r="Y352" i="15"/>
  <c r="J352" i="15"/>
  <c r="R352" i="15"/>
  <c r="Z352" i="15"/>
  <c r="K352" i="15"/>
  <c r="S352" i="15"/>
  <c r="AA352" i="15"/>
  <c r="L352" i="15"/>
  <c r="T352" i="15"/>
  <c r="I351" i="15"/>
  <c r="Q351" i="15"/>
  <c r="Y351" i="15"/>
  <c r="K351" i="15"/>
  <c r="S351" i="15"/>
  <c r="AA351" i="15"/>
  <c r="L351" i="15"/>
  <c r="T351" i="15"/>
  <c r="AB351" i="15"/>
  <c r="M351" i="15"/>
  <c r="U351" i="15"/>
  <c r="AC351" i="15"/>
  <c r="N351" i="15"/>
  <c r="V351" i="15"/>
  <c r="O351" i="15"/>
  <c r="K350" i="15"/>
  <c r="S350" i="15"/>
  <c r="AA350" i="15"/>
  <c r="L350" i="15"/>
  <c r="T350" i="15"/>
  <c r="AB350" i="15"/>
  <c r="N350" i="15"/>
  <c r="V350" i="15"/>
  <c r="P350" i="15"/>
  <c r="X350" i="15"/>
  <c r="I350" i="15"/>
  <c r="Q350" i="15"/>
  <c r="Y350" i="15"/>
  <c r="J350" i="15"/>
  <c r="R350" i="15"/>
  <c r="I349" i="15"/>
  <c r="Q349" i="15"/>
  <c r="Y349" i="15"/>
  <c r="J349" i="15"/>
  <c r="R349" i="15"/>
  <c r="Z349" i="15"/>
  <c r="K349" i="15"/>
  <c r="S349" i="15"/>
  <c r="AA349" i="15"/>
  <c r="L349" i="15"/>
  <c r="T349" i="15"/>
  <c r="AB349" i="15"/>
  <c r="M349" i="15"/>
  <c r="U349" i="15"/>
  <c r="M348" i="15"/>
  <c r="U348" i="15"/>
  <c r="AC348" i="15"/>
  <c r="N348" i="15"/>
  <c r="V348" i="15"/>
  <c r="O348" i="15"/>
  <c r="W348" i="15"/>
  <c r="P348" i="15"/>
  <c r="X348" i="15"/>
  <c r="I348" i="15"/>
  <c r="Q348" i="15"/>
  <c r="Q268" i="15"/>
  <c r="I268" i="15"/>
  <c r="Y268" i="15"/>
  <c r="AC268" i="15"/>
  <c r="U268" i="15"/>
  <c r="M268" i="15"/>
  <c r="AB268" i="15"/>
  <c r="T268" i="15"/>
  <c r="L268" i="15"/>
  <c r="AA268" i="15"/>
  <c r="S268" i="15"/>
  <c r="K268" i="15"/>
  <c r="Z268" i="15"/>
  <c r="R268" i="15"/>
  <c r="J268" i="15"/>
  <c r="X268" i="15"/>
  <c r="P268" i="15"/>
  <c r="H268" i="15"/>
  <c r="AE268" i="15"/>
  <c r="W268" i="15"/>
  <c r="O268" i="15"/>
  <c r="G268" i="15"/>
  <c r="AD268" i="15"/>
  <c r="V268" i="15"/>
  <c r="N268" i="15"/>
  <c r="F268" i="15"/>
  <c r="E268" i="15"/>
  <c r="AC277" i="15"/>
  <c r="U277" i="15"/>
  <c r="M277" i="15"/>
  <c r="AB277" i="15"/>
  <c r="T277" i="15"/>
  <c r="L277" i="15"/>
  <c r="AA277" i="15"/>
  <c r="S277" i="15"/>
  <c r="K277" i="15"/>
  <c r="Z277" i="15"/>
  <c r="R277" i="15"/>
  <c r="J277" i="15"/>
  <c r="Y277" i="15"/>
  <c r="Q277" i="15"/>
  <c r="I277" i="15"/>
  <c r="X277" i="15"/>
  <c r="P277" i="15"/>
  <c r="H277" i="15"/>
  <c r="AE277" i="15"/>
  <c r="W277" i="15"/>
  <c r="O277" i="15"/>
  <c r="G277" i="15"/>
  <c r="AD277" i="15"/>
  <c r="V277" i="15"/>
  <c r="N277" i="15"/>
  <c r="F277" i="15"/>
  <c r="Y264" i="15"/>
  <c r="O319" i="15"/>
  <c r="K311" i="15"/>
  <c r="L315" i="15"/>
  <c r="I111" i="15"/>
  <c r="K321" i="15"/>
  <c r="K273" i="15"/>
  <c r="J311" i="15"/>
  <c r="N319" i="15"/>
  <c r="M315" i="15"/>
  <c r="L321" i="15"/>
  <c r="L311" i="15"/>
  <c r="L322" i="15" s="1"/>
  <c r="N315" i="15"/>
  <c r="N322" i="15" s="1"/>
  <c r="K317" i="15"/>
  <c r="M321" i="15"/>
  <c r="J317" i="15"/>
  <c r="M311" i="15"/>
  <c r="O315" i="15"/>
  <c r="O322" i="15" s="1"/>
  <c r="I319" i="15"/>
  <c r="N321" i="15"/>
  <c r="J319" i="15"/>
  <c r="O321" i="15"/>
  <c r="I315" i="15"/>
  <c r="K319" i="15"/>
  <c r="J315" i="15"/>
  <c r="I321" i="15"/>
  <c r="G155" i="15"/>
  <c r="F155" i="15"/>
  <c r="E155" i="15"/>
  <c r="K144" i="15"/>
  <c r="L144" i="15"/>
  <c r="N144" i="15"/>
  <c r="M144" i="15"/>
  <c r="O144" i="15"/>
  <c r="I144" i="15"/>
  <c r="J144" i="15"/>
  <c r="L148" i="15"/>
  <c r="O148" i="15"/>
  <c r="N148" i="15"/>
  <c r="M148" i="15"/>
  <c r="K148" i="15"/>
  <c r="N154" i="15"/>
  <c r="M154" i="15"/>
  <c r="K154" i="15"/>
  <c r="L152" i="15"/>
  <c r="O154" i="15"/>
  <c r="O152" i="15"/>
  <c r="J152" i="15"/>
  <c r="J154" i="15"/>
  <c r="L150" i="15"/>
  <c r="K150" i="15"/>
  <c r="H150" i="15"/>
  <c r="H155" i="15" s="1"/>
  <c r="I150" i="15"/>
  <c r="I21" i="15"/>
  <c r="I90" i="15" s="1"/>
  <c r="G344" i="15"/>
  <c r="G343" i="15"/>
  <c r="F344" i="15"/>
  <c r="F343" i="15"/>
  <c r="E344" i="15"/>
  <c r="D22" i="16" s="1"/>
  <c r="E343" i="15"/>
  <c r="AS23" i="7"/>
  <c r="K33" i="15"/>
  <c r="K113" i="15" s="1"/>
  <c r="L33" i="15"/>
  <c r="L113" i="15" s="1"/>
  <c r="M33" i="15"/>
  <c r="M113" i="15" s="1"/>
  <c r="N33" i="15"/>
  <c r="N113" i="15" s="1"/>
  <c r="O33" i="15"/>
  <c r="I16" i="16"/>
  <c r="AV24" i="7"/>
  <c r="AW24" i="7"/>
  <c r="AT24" i="7"/>
  <c r="AS24" i="7"/>
  <c r="AV23" i="7"/>
  <c r="BG18" i="7"/>
  <c r="BF18" i="7"/>
  <c r="AW7" i="7"/>
  <c r="AV7" i="7"/>
  <c r="AW6" i="7"/>
  <c r="AW16" i="7" s="1"/>
  <c r="AV6" i="7"/>
  <c r="AV16" i="7" s="1"/>
  <c r="AT7" i="7"/>
  <c r="AT6" i="7"/>
  <c r="AS6" i="7"/>
  <c r="AS16" i="7" s="1"/>
  <c r="AS7" i="7"/>
  <c r="BD17" i="7"/>
  <c r="BC17" i="7"/>
  <c r="BB17" i="7"/>
  <c r="AZ17" i="7"/>
  <c r="AY17" i="7"/>
  <c r="BG19" i="7"/>
  <c r="BF19" i="7"/>
  <c r="BE19" i="7"/>
  <c r="BD19" i="7"/>
  <c r="BC19" i="7"/>
  <c r="BB19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W30" i="7"/>
  <c r="AV30" i="7"/>
  <c r="AW26" i="7"/>
  <c r="AV26" i="7"/>
  <c r="Q92" i="15" l="1"/>
  <c r="Q150" i="15" s="1"/>
  <c r="R29" i="15"/>
  <c r="O111" i="15"/>
  <c r="S93" i="15"/>
  <c r="R112" i="15"/>
  <c r="H104" i="15"/>
  <c r="M322" i="15"/>
  <c r="AC322" i="15"/>
  <c r="K322" i="15"/>
  <c r="E337" i="15"/>
  <c r="X322" i="15"/>
  <c r="P322" i="15"/>
  <c r="AB322" i="15"/>
  <c r="S322" i="15"/>
  <c r="V322" i="15"/>
  <c r="T322" i="15"/>
  <c r="J322" i="15"/>
  <c r="Y322" i="15"/>
  <c r="R322" i="15"/>
  <c r="AD322" i="15"/>
  <c r="U322" i="15"/>
  <c r="AA322" i="15"/>
  <c r="I322" i="15"/>
  <c r="AE322" i="15"/>
  <c r="Q322" i="15"/>
  <c r="R264" i="15"/>
  <c r="O299" i="15"/>
  <c r="Z264" i="15"/>
  <c r="E299" i="15"/>
  <c r="Y299" i="15"/>
  <c r="T299" i="15"/>
  <c r="W299" i="15"/>
  <c r="J299" i="15"/>
  <c r="AB299" i="15"/>
  <c r="M299" i="15"/>
  <c r="F299" i="15"/>
  <c r="H299" i="15"/>
  <c r="Z299" i="15"/>
  <c r="U299" i="15"/>
  <c r="AE299" i="15"/>
  <c r="N299" i="15"/>
  <c r="P299" i="15"/>
  <c r="K299" i="15"/>
  <c r="AC299" i="15"/>
  <c r="V299" i="15"/>
  <c r="X299" i="15"/>
  <c r="S299" i="15"/>
  <c r="R299" i="15"/>
  <c r="AD299" i="15"/>
  <c r="I299" i="15"/>
  <c r="AA299" i="15"/>
  <c r="G299" i="15"/>
  <c r="Q299" i="15"/>
  <c r="L299" i="15"/>
  <c r="I104" i="15"/>
  <c r="J104" i="15"/>
  <c r="L104" i="15"/>
  <c r="H169" i="15"/>
  <c r="I169" i="15" s="1"/>
  <c r="P104" i="15"/>
  <c r="K104" i="15"/>
  <c r="F104" i="15"/>
  <c r="E104" i="15"/>
  <c r="G104" i="15"/>
  <c r="AA264" i="15"/>
  <c r="AD264" i="15"/>
  <c r="S264" i="15"/>
  <c r="V264" i="15"/>
  <c r="G159" i="15"/>
  <c r="H159" i="15" s="1"/>
  <c r="Q155" i="15"/>
  <c r="G161" i="15"/>
  <c r="H165" i="15"/>
  <c r="I165" i="15" s="1"/>
  <c r="J165" i="15" s="1"/>
  <c r="K165" i="15" s="1"/>
  <c r="L165" i="15" s="1"/>
  <c r="I330" i="15"/>
  <c r="J330" i="15" s="1"/>
  <c r="I328" i="15"/>
  <c r="J328" i="15" s="1"/>
  <c r="F332" i="15"/>
  <c r="I336" i="15"/>
  <c r="J336" i="15" s="1"/>
  <c r="G334" i="15"/>
  <c r="H334" i="15" s="1"/>
  <c r="F326" i="15"/>
  <c r="F167" i="15"/>
  <c r="F163" i="15"/>
  <c r="G163" i="15" s="1"/>
  <c r="H163" i="15" s="1"/>
  <c r="P155" i="15"/>
  <c r="P264" i="15"/>
  <c r="E22" i="16"/>
  <c r="X264" i="15"/>
  <c r="F22" i="16"/>
  <c r="Q108" i="15"/>
  <c r="R109" i="15"/>
  <c r="Q109" i="15"/>
  <c r="T90" i="15"/>
  <c r="R108" i="15"/>
  <c r="T108" i="15"/>
  <c r="S109" i="15"/>
  <c r="T144" i="15"/>
  <c r="S108" i="15"/>
  <c r="T264" i="15"/>
  <c r="AB264" i="15"/>
  <c r="U264" i="15"/>
  <c r="AC264" i="15"/>
  <c r="AE264" i="15"/>
  <c r="W264" i="15"/>
  <c r="O353" i="15"/>
  <c r="N12" i="16" s="1"/>
  <c r="N353" i="15"/>
  <c r="M12" i="16" s="1"/>
  <c r="P353" i="15"/>
  <c r="O12" i="16" s="1"/>
  <c r="Q353" i="15"/>
  <c r="P12" i="16" s="1"/>
  <c r="S353" i="15"/>
  <c r="R12" i="16" s="1"/>
  <c r="T353" i="15"/>
  <c r="S12" i="16" s="1"/>
  <c r="I353" i="15"/>
  <c r="H12" i="16" s="1"/>
  <c r="R353" i="15"/>
  <c r="Q12" i="16" s="1"/>
  <c r="M353" i="15"/>
  <c r="L12" i="16" s="1"/>
  <c r="L353" i="15"/>
  <c r="K12" i="16" s="1"/>
  <c r="K353" i="15"/>
  <c r="J12" i="16" s="1"/>
  <c r="J353" i="15"/>
  <c r="I12" i="16" s="1"/>
  <c r="F9" i="16"/>
  <c r="G9" i="16"/>
  <c r="D9" i="16"/>
  <c r="E9" i="16"/>
  <c r="M111" i="15"/>
  <c r="L111" i="15"/>
  <c r="N111" i="15"/>
  <c r="K111" i="15"/>
  <c r="J155" i="15"/>
  <c r="L155" i="15"/>
  <c r="K155" i="15"/>
  <c r="I154" i="15"/>
  <c r="I152" i="15"/>
  <c r="M92" i="15"/>
  <c r="M104" i="15" s="1"/>
  <c r="AO33" i="7"/>
  <c r="Y33" i="7"/>
  <c r="Q33" i="7"/>
  <c r="I33" i="7"/>
  <c r="AG33" i="7"/>
  <c r="AM33" i="7"/>
  <c r="W33" i="7"/>
  <c r="O33" i="7"/>
  <c r="G33" i="7"/>
  <c r="AE33" i="7"/>
  <c r="F33" i="7"/>
  <c r="AL33" i="7"/>
  <c r="AN33" i="7"/>
  <c r="AF33" i="7"/>
  <c r="X33" i="7"/>
  <c r="P33" i="7"/>
  <c r="H33" i="7"/>
  <c r="V33" i="7"/>
  <c r="N33" i="7"/>
  <c r="AI33" i="7"/>
  <c r="AD33" i="7"/>
  <c r="AC33" i="7"/>
  <c r="AK33" i="7"/>
  <c r="E33" i="7"/>
  <c r="AJ33" i="7"/>
  <c r="AB33" i="7"/>
  <c r="T33" i="7"/>
  <c r="L33" i="7"/>
  <c r="AA33" i="7"/>
  <c r="AP33" i="7"/>
  <c r="AH33" i="7"/>
  <c r="Z33" i="7"/>
  <c r="R33" i="7"/>
  <c r="J33" i="7"/>
  <c r="S33" i="7"/>
  <c r="AQ33" i="7"/>
  <c r="K33" i="7"/>
  <c r="U33" i="7"/>
  <c r="M33" i="7"/>
  <c r="Q104" i="15" l="1"/>
  <c r="P4" i="16" s="1"/>
  <c r="R92" i="15"/>
  <c r="S29" i="15"/>
  <c r="J169" i="15"/>
  <c r="T93" i="15"/>
  <c r="S112" i="15"/>
  <c r="O113" i="15"/>
  <c r="F337" i="15"/>
  <c r="I9" i="16"/>
  <c r="H161" i="15"/>
  <c r="I159" i="15"/>
  <c r="P9" i="16"/>
  <c r="O9" i="16"/>
  <c r="K330" i="15"/>
  <c r="L330" i="15" s="1"/>
  <c r="K336" i="15"/>
  <c r="L336" i="15" s="1"/>
  <c r="M336" i="15" s="1"/>
  <c r="N336" i="15" s="1"/>
  <c r="I334" i="15"/>
  <c r="J334" i="15" s="1"/>
  <c r="K334" i="15" s="1"/>
  <c r="G332" i="15"/>
  <c r="H332" i="15" s="1"/>
  <c r="I332" i="15" s="1"/>
  <c r="G326" i="15"/>
  <c r="G167" i="15"/>
  <c r="H167" i="15" s="1"/>
  <c r="I163" i="15"/>
  <c r="J163" i="15" s="1"/>
  <c r="K328" i="15"/>
  <c r="M165" i="15"/>
  <c r="U144" i="15"/>
  <c r="U353" i="15"/>
  <c r="T12" i="16" s="1"/>
  <c r="V353" i="15"/>
  <c r="U12" i="16" s="1"/>
  <c r="U81" i="15"/>
  <c r="V81" i="15"/>
  <c r="O4" i="16"/>
  <c r="K9" i="16"/>
  <c r="J9" i="16"/>
  <c r="I155" i="15"/>
  <c r="H9" i="16" s="1"/>
  <c r="M150" i="15"/>
  <c r="N92" i="15"/>
  <c r="N104" i="15" s="1"/>
  <c r="AX23" i="7"/>
  <c r="AX54" i="7"/>
  <c r="Q9" i="14"/>
  <c r="AS20" i="7"/>
  <c r="AU63" i="7"/>
  <c r="AH66" i="13"/>
  <c r="AR65" i="7"/>
  <c r="V66" i="13"/>
  <c r="AF65" i="13"/>
  <c r="K65" i="13"/>
  <c r="O66" i="13"/>
  <c r="K163" i="15" l="1"/>
  <c r="L163" i="15" s="1"/>
  <c r="S92" i="15"/>
  <c r="T29" i="15"/>
  <c r="R150" i="15"/>
  <c r="R155" i="15" s="1"/>
  <c r="Q9" i="16" s="1"/>
  <c r="R104" i="15"/>
  <c r="Q4" i="16" s="1"/>
  <c r="T112" i="15"/>
  <c r="U93" i="15"/>
  <c r="P113" i="15"/>
  <c r="P111" i="15"/>
  <c r="H326" i="15"/>
  <c r="H337" i="15" s="1"/>
  <c r="G337" i="15"/>
  <c r="I161" i="15"/>
  <c r="J159" i="15"/>
  <c r="K159" i="15" s="1"/>
  <c r="H132" i="15"/>
  <c r="M330" i="15"/>
  <c r="N330" i="15" s="1"/>
  <c r="O330" i="15" s="1"/>
  <c r="J332" i="15"/>
  <c r="K332" i="15" s="1"/>
  <c r="I167" i="15"/>
  <c r="J167" i="15" s="1"/>
  <c r="N165" i="15"/>
  <c r="O336" i="15"/>
  <c r="L334" i="15"/>
  <c r="L328" i="15"/>
  <c r="M328" i="15" s="1"/>
  <c r="N328" i="15" s="1"/>
  <c r="V108" i="15"/>
  <c r="V90" i="15"/>
  <c r="V109" i="15"/>
  <c r="U108" i="15"/>
  <c r="U109" i="15"/>
  <c r="U90" i="15"/>
  <c r="V144" i="15"/>
  <c r="M155" i="15"/>
  <c r="L9" i="16" s="1"/>
  <c r="N150" i="15"/>
  <c r="N155" i="15" s="1"/>
  <c r="M9" i="16" s="1"/>
  <c r="O92" i="15"/>
  <c r="O104" i="15" s="1"/>
  <c r="N66" i="13"/>
  <c r="N63" i="7"/>
  <c r="F37" i="7"/>
  <c r="AF8" i="9"/>
  <c r="AJ7" i="9"/>
  <c r="AI7" i="9"/>
  <c r="AG7" i="9"/>
  <c r="AF7" i="9"/>
  <c r="AE7" i="9"/>
  <c r="AC7" i="9"/>
  <c r="AD7" i="9"/>
  <c r="AC8" i="9"/>
  <c r="AD8" i="9"/>
  <c r="AE8" i="9"/>
  <c r="AE6" i="9"/>
  <c r="AD6" i="9"/>
  <c r="AC6" i="9"/>
  <c r="AE5" i="9"/>
  <c r="AD5" i="9"/>
  <c r="AC5" i="9"/>
  <c r="BA46" i="7"/>
  <c r="BA23" i="7"/>
  <c r="BB16" i="7"/>
  <c r="BA16" i="7"/>
  <c r="AU59" i="7"/>
  <c r="AW44" i="7"/>
  <c r="AY44" i="7" s="1"/>
  <c r="AZ44" i="7" s="1"/>
  <c r="BC25" i="7"/>
  <c r="BB25" i="7"/>
  <c r="BC29" i="7"/>
  <c r="BC30" i="7" s="1"/>
  <c r="BB29" i="7"/>
  <c r="BB30" i="7" s="1"/>
  <c r="BA29" i="7"/>
  <c r="BA30" i="7" s="1"/>
  <c r="BA25" i="7"/>
  <c r="BC24" i="7"/>
  <c r="BB24" i="7"/>
  <c r="BC23" i="7"/>
  <c r="BB23" i="7"/>
  <c r="BC16" i="7"/>
  <c r="U29" i="15" l="1"/>
  <c r="T92" i="15"/>
  <c r="S150" i="15"/>
  <c r="S155" i="15" s="1"/>
  <c r="R9" i="16" s="1"/>
  <c r="S104" i="15"/>
  <c r="R4" i="16" s="1"/>
  <c r="U112" i="15"/>
  <c r="Q113" i="15"/>
  <c r="V93" i="15"/>
  <c r="Q111" i="15"/>
  <c r="I326" i="15"/>
  <c r="J161" i="15"/>
  <c r="K161" i="15" s="1"/>
  <c r="K167" i="15"/>
  <c r="L167" i="15" s="1"/>
  <c r="M167" i="15" s="1"/>
  <c r="P330" i="15"/>
  <c r="Q330" i="15" s="1"/>
  <c r="L332" i="15"/>
  <c r="M332" i="15" s="1"/>
  <c r="N332" i="15" s="1"/>
  <c r="O332" i="15" s="1"/>
  <c r="M163" i="15"/>
  <c r="O165" i="15"/>
  <c r="P336" i="15"/>
  <c r="M334" i="15"/>
  <c r="O328" i="15"/>
  <c r="P328" i="15" s="1"/>
  <c r="L159" i="15"/>
  <c r="W144" i="15"/>
  <c r="X81" i="15"/>
  <c r="W353" i="15"/>
  <c r="V12" i="16" s="1"/>
  <c r="X353" i="15"/>
  <c r="W12" i="16" s="1"/>
  <c r="W81" i="15"/>
  <c r="O150" i="15"/>
  <c r="O155" i="15" s="1"/>
  <c r="N9" i="16" s="1"/>
  <c r="BC20" i="7"/>
  <c r="BB20" i="7"/>
  <c r="BC34" i="7"/>
  <c r="BB34" i="7"/>
  <c r="BC27" i="7"/>
  <c r="BC26" i="7"/>
  <c r="AI8" i="9"/>
  <c r="BA26" i="7"/>
  <c r="BC31" i="7"/>
  <c r="BC36" i="7" s="1"/>
  <c r="BB31" i="7"/>
  <c r="BB36" i="7" s="1"/>
  <c r="BB27" i="7"/>
  <c r="BB26" i="7"/>
  <c r="BA24" i="7"/>
  <c r="BA34" i="7" s="1"/>
  <c r="BA17" i="7"/>
  <c r="BA19" i="7"/>
  <c r="BB44" i="7"/>
  <c r="AX44" i="7"/>
  <c r="AR46" i="7"/>
  <c r="S62" i="7"/>
  <c r="AW41" i="7"/>
  <c r="AV41" i="7"/>
  <c r="AZ24" i="7"/>
  <c r="AY24" i="7"/>
  <c r="AX24" i="7"/>
  <c r="AZ23" i="7"/>
  <c r="AY23" i="7"/>
  <c r="AZ25" i="7"/>
  <c r="AZ26" i="7" s="1"/>
  <c r="AY25" i="7"/>
  <c r="AY26" i="7" s="1"/>
  <c r="AX25" i="7"/>
  <c r="AX8" i="7"/>
  <c r="AH7" i="9" s="1"/>
  <c r="AZ16" i="7"/>
  <c r="AY16" i="7"/>
  <c r="AX16" i="7"/>
  <c r="AX46" i="7"/>
  <c r="T150" i="15" l="1"/>
  <c r="T155" i="15" s="1"/>
  <c r="S9" i="16" s="1"/>
  <c r="T104" i="15"/>
  <c r="S4" i="16" s="1"/>
  <c r="U92" i="15"/>
  <c r="V29" i="15"/>
  <c r="R113" i="15"/>
  <c r="R111" i="15"/>
  <c r="W93" i="15"/>
  <c r="V112" i="15"/>
  <c r="J326" i="15"/>
  <c r="J337" i="15" s="1"/>
  <c r="I337" i="15"/>
  <c r="N167" i="15"/>
  <c r="O167" i="15" s="1"/>
  <c r="P167" i="15" s="1"/>
  <c r="R330" i="15"/>
  <c r="S330" i="15" s="1"/>
  <c r="N163" i="15"/>
  <c r="P165" i="15"/>
  <c r="Q165" i="15" s="1"/>
  <c r="R165" i="15" s="1"/>
  <c r="Q336" i="15"/>
  <c r="R336" i="15" s="1"/>
  <c r="N334" i="15"/>
  <c r="P332" i="15"/>
  <c r="Q328" i="15"/>
  <c r="R328" i="15" s="1"/>
  <c r="S328" i="15" s="1"/>
  <c r="T328" i="15" s="1"/>
  <c r="U328" i="15" s="1"/>
  <c r="V328" i="15" s="1"/>
  <c r="W328" i="15" s="1"/>
  <c r="X328" i="15" s="1"/>
  <c r="Y328" i="15" s="1"/>
  <c r="Z328" i="15" s="1"/>
  <c r="AA328" i="15" s="1"/>
  <c r="AB328" i="15" s="1"/>
  <c r="AC328" i="15" s="1"/>
  <c r="AD328" i="15" s="1"/>
  <c r="AE328" i="15" s="1"/>
  <c r="M159" i="15"/>
  <c r="X108" i="15"/>
  <c r="X90" i="15"/>
  <c r="X109" i="15"/>
  <c r="W108" i="15"/>
  <c r="W90" i="15"/>
  <c r="W109" i="15"/>
  <c r="Y353" i="15"/>
  <c r="X12" i="16" s="1"/>
  <c r="X144" i="15"/>
  <c r="Y81" i="15"/>
  <c r="BA20" i="7"/>
  <c r="BC32" i="7"/>
  <c r="BC33" i="7" s="1"/>
  <c r="BB35" i="7"/>
  <c r="AY20" i="7"/>
  <c r="AY41" i="7"/>
  <c r="AZ41" i="7" s="1"/>
  <c r="AZ20" i="7"/>
  <c r="BB32" i="7"/>
  <c r="BB33" i="7" s="1"/>
  <c r="AY34" i="7"/>
  <c r="BA27" i="7"/>
  <c r="AX34" i="7"/>
  <c r="BC35" i="7"/>
  <c r="AZ34" i="7"/>
  <c r="BA31" i="7"/>
  <c r="BA36" i="7" s="1"/>
  <c r="AH8" i="9"/>
  <c r="AX26" i="7"/>
  <c r="AI5" i="9"/>
  <c r="BC44" i="7"/>
  <c r="BA44" i="7" s="1"/>
  <c r="BD44" i="7" s="1"/>
  <c r="BE44" i="7" s="1"/>
  <c r="BF44" i="7" s="1"/>
  <c r="BG44" i="7" s="1"/>
  <c r="AX17" i="7"/>
  <c r="AX20" i="7" s="1"/>
  <c r="AX27" i="7"/>
  <c r="AY27" i="7"/>
  <c r="AY35" i="7" s="1"/>
  <c r="AZ27" i="7"/>
  <c r="AZ35" i="7" s="1"/>
  <c r="AT23" i="7"/>
  <c r="AW23" i="7"/>
  <c r="AV21" i="7"/>
  <c r="AV22" i="7" s="1"/>
  <c r="AW21" i="7"/>
  <c r="AW22" i="7" s="1"/>
  <c r="AU21" i="7"/>
  <c r="AG8" i="9" s="1"/>
  <c r="AW20" i="7"/>
  <c r="AV20" i="7"/>
  <c r="AG63" i="7"/>
  <c r="AH63" i="7"/>
  <c r="AI63" i="7"/>
  <c r="AJ63" i="7"/>
  <c r="AK63" i="7"/>
  <c r="AL63" i="7"/>
  <c r="AM63" i="7"/>
  <c r="AN63" i="7"/>
  <c r="AO63" i="7"/>
  <c r="AP63" i="7"/>
  <c r="AQ63" i="7"/>
  <c r="AF63" i="7"/>
  <c r="AG62" i="7"/>
  <c r="AH62" i="7"/>
  <c r="AI62" i="7"/>
  <c r="AJ62" i="7"/>
  <c r="AK62" i="7"/>
  <c r="AL62" i="7"/>
  <c r="AM62" i="7"/>
  <c r="AN62" i="7"/>
  <c r="AO62" i="7"/>
  <c r="AP62" i="7"/>
  <c r="AQ62" i="7"/>
  <c r="AF62" i="7"/>
  <c r="T63" i="7"/>
  <c r="U63" i="7"/>
  <c r="V63" i="7"/>
  <c r="W63" i="7"/>
  <c r="X63" i="7"/>
  <c r="Y63" i="7"/>
  <c r="Z63" i="7"/>
  <c r="AA63" i="7"/>
  <c r="AB63" i="7"/>
  <c r="AC63" i="7"/>
  <c r="AD63" i="7"/>
  <c r="S63" i="7"/>
  <c r="T62" i="7"/>
  <c r="U62" i="7"/>
  <c r="V62" i="7"/>
  <c r="W62" i="7"/>
  <c r="X62" i="7"/>
  <c r="Y62" i="7"/>
  <c r="Z62" i="7"/>
  <c r="AA62" i="7"/>
  <c r="AB62" i="7"/>
  <c r="AC62" i="7"/>
  <c r="AD62" i="7"/>
  <c r="G63" i="7"/>
  <c r="H63" i="7"/>
  <c r="I63" i="7"/>
  <c r="J63" i="7"/>
  <c r="K63" i="7"/>
  <c r="L63" i="7"/>
  <c r="M63" i="7"/>
  <c r="O63" i="7"/>
  <c r="P63" i="7"/>
  <c r="Q63" i="7"/>
  <c r="G62" i="7"/>
  <c r="H62" i="7"/>
  <c r="I62" i="7"/>
  <c r="J62" i="7"/>
  <c r="K62" i="7"/>
  <c r="L62" i="7"/>
  <c r="M62" i="7"/>
  <c r="N62" i="7"/>
  <c r="O62" i="7"/>
  <c r="P62" i="7"/>
  <c r="Q62" i="7"/>
  <c r="F62" i="7"/>
  <c r="AW48" i="7"/>
  <c r="AY48" i="7" s="1"/>
  <c r="AU46" i="7"/>
  <c r="AU44" i="7"/>
  <c r="AT59" i="7"/>
  <c r="AS48" i="7"/>
  <c r="AR44" i="7"/>
  <c r="AT16" i="7"/>
  <c r="AT41" i="7"/>
  <c r="AS41" i="7"/>
  <c r="AR24" i="7"/>
  <c r="BG23" i="7"/>
  <c r="BF23" i="7"/>
  <c r="BE23" i="7"/>
  <c r="BD23" i="7"/>
  <c r="AS22" i="7"/>
  <c r="AT22" i="7"/>
  <c r="AT32" i="7" s="1"/>
  <c r="AR22" i="7"/>
  <c r="V59" i="7"/>
  <c r="Q54" i="7"/>
  <c r="AG48" i="7"/>
  <c r="AH48" i="7"/>
  <c r="AI48" i="7"/>
  <c r="AJ48" i="7"/>
  <c r="AK48" i="7"/>
  <c r="AL48" i="7"/>
  <c r="AM48" i="7"/>
  <c r="AN48" i="7"/>
  <c r="AO48" i="7"/>
  <c r="AP48" i="7"/>
  <c r="AF48" i="7"/>
  <c r="T48" i="7"/>
  <c r="U48" i="7"/>
  <c r="V48" i="7"/>
  <c r="W48" i="7"/>
  <c r="X48" i="7"/>
  <c r="Y48" i="7"/>
  <c r="Z48" i="7"/>
  <c r="AA48" i="7"/>
  <c r="AB48" i="7"/>
  <c r="AC48" i="7"/>
  <c r="S48" i="7"/>
  <c r="G48" i="7"/>
  <c r="H48" i="7"/>
  <c r="I48" i="7"/>
  <c r="J48" i="7"/>
  <c r="K48" i="7"/>
  <c r="L48" i="7"/>
  <c r="M48" i="7"/>
  <c r="N48" i="7"/>
  <c r="O48" i="7"/>
  <c r="P48" i="7"/>
  <c r="F48" i="7"/>
  <c r="AG47" i="7"/>
  <c r="AH47" i="7"/>
  <c r="AI47" i="7"/>
  <c r="AJ47" i="7"/>
  <c r="AK47" i="7"/>
  <c r="AL47" i="7"/>
  <c r="AM47" i="7"/>
  <c r="AN47" i="7"/>
  <c r="AO47" i="7"/>
  <c r="AP47" i="7"/>
  <c r="AQ47" i="7"/>
  <c r="AF47" i="7"/>
  <c r="T47" i="7"/>
  <c r="U47" i="7"/>
  <c r="V47" i="7"/>
  <c r="W47" i="7"/>
  <c r="X47" i="7"/>
  <c r="Y47" i="7"/>
  <c r="Z47" i="7"/>
  <c r="AA47" i="7"/>
  <c r="AB47" i="7"/>
  <c r="AC47" i="7"/>
  <c r="AD47" i="7"/>
  <c r="S47" i="7"/>
  <c r="G47" i="7"/>
  <c r="H47" i="7"/>
  <c r="I47" i="7"/>
  <c r="J47" i="7"/>
  <c r="K47" i="7"/>
  <c r="L47" i="7"/>
  <c r="M47" i="7"/>
  <c r="N47" i="7"/>
  <c r="O47" i="7"/>
  <c r="P47" i="7"/>
  <c r="Q47" i="7"/>
  <c r="F47" i="7"/>
  <c r="AG46" i="7"/>
  <c r="AH46" i="7"/>
  <c r="AI46" i="7"/>
  <c r="AJ46" i="7"/>
  <c r="AK46" i="7"/>
  <c r="AL46" i="7"/>
  <c r="AM46" i="7"/>
  <c r="AN46" i="7"/>
  <c r="AO46" i="7"/>
  <c r="AP46" i="7"/>
  <c r="AQ46" i="7"/>
  <c r="AF46" i="7"/>
  <c r="T46" i="7"/>
  <c r="U46" i="7"/>
  <c r="V46" i="7"/>
  <c r="W46" i="7"/>
  <c r="X46" i="7"/>
  <c r="Y46" i="7"/>
  <c r="Z46" i="7"/>
  <c r="AA46" i="7"/>
  <c r="AB46" i="7"/>
  <c r="AC46" i="7"/>
  <c r="AD46" i="7"/>
  <c r="S46" i="7"/>
  <c r="G46" i="7"/>
  <c r="H46" i="7"/>
  <c r="I46" i="7"/>
  <c r="J46" i="7"/>
  <c r="K46" i="7"/>
  <c r="L46" i="7"/>
  <c r="M46" i="7"/>
  <c r="N46" i="7"/>
  <c r="O46" i="7"/>
  <c r="P46" i="7"/>
  <c r="Q46" i="7"/>
  <c r="F46" i="7"/>
  <c r="AG45" i="7"/>
  <c r="AK45" i="7"/>
  <c r="AM45" i="7"/>
  <c r="AQ45" i="7"/>
  <c r="T45" i="7"/>
  <c r="X45" i="7"/>
  <c r="Z45" i="7"/>
  <c r="AD45" i="7"/>
  <c r="G45" i="7"/>
  <c r="H45" i="7"/>
  <c r="I45" i="7"/>
  <c r="J45" i="7"/>
  <c r="K45" i="7"/>
  <c r="M45" i="7"/>
  <c r="Q45" i="7"/>
  <c r="AG44" i="7"/>
  <c r="AH44" i="7"/>
  <c r="AI44" i="7"/>
  <c r="AJ44" i="7"/>
  <c r="AK44" i="7"/>
  <c r="AL44" i="7"/>
  <c r="AM44" i="7"/>
  <c r="AN44" i="7"/>
  <c r="AO44" i="7"/>
  <c r="AP44" i="7"/>
  <c r="AQ44" i="7"/>
  <c r="T44" i="7"/>
  <c r="U44" i="7"/>
  <c r="V44" i="7"/>
  <c r="W44" i="7"/>
  <c r="X44" i="7"/>
  <c r="Y44" i="7"/>
  <c r="Z44" i="7"/>
  <c r="AA44" i="7"/>
  <c r="AB44" i="7"/>
  <c r="AC44" i="7"/>
  <c r="AD44" i="7"/>
  <c r="S44" i="7"/>
  <c r="AF44" i="7"/>
  <c r="G44" i="7"/>
  <c r="H44" i="7"/>
  <c r="I44" i="7"/>
  <c r="J44" i="7"/>
  <c r="K44" i="7"/>
  <c r="L44" i="7"/>
  <c r="M44" i="7"/>
  <c r="N44" i="7"/>
  <c r="O44" i="7"/>
  <c r="P44" i="7"/>
  <c r="Q44" i="7"/>
  <c r="F44" i="7"/>
  <c r="AG43" i="7"/>
  <c r="AH43" i="7"/>
  <c r="AI43" i="7"/>
  <c r="AJ43" i="7"/>
  <c r="AL43" i="7"/>
  <c r="AM43" i="7"/>
  <c r="AN43" i="7"/>
  <c r="AO43" i="7"/>
  <c r="AP43" i="7"/>
  <c r="AF43" i="7"/>
  <c r="T43" i="7"/>
  <c r="U43" i="7"/>
  <c r="V43" i="7"/>
  <c r="W43" i="7"/>
  <c r="Y43" i="7"/>
  <c r="Z43" i="7"/>
  <c r="AA43" i="7"/>
  <c r="AB43" i="7"/>
  <c r="AC43" i="7"/>
  <c r="S43" i="7"/>
  <c r="G43" i="7"/>
  <c r="H43" i="7"/>
  <c r="I43" i="7"/>
  <c r="J43" i="7"/>
  <c r="K43" i="7"/>
  <c r="L43" i="7"/>
  <c r="M43" i="7"/>
  <c r="N43" i="7"/>
  <c r="O43" i="7"/>
  <c r="P43" i="7"/>
  <c r="F43" i="7"/>
  <c r="G42" i="7"/>
  <c r="F42" i="7"/>
  <c r="AG59" i="7"/>
  <c r="AH59" i="7"/>
  <c r="AI59" i="7"/>
  <c r="AJ59" i="7"/>
  <c r="AK59" i="7"/>
  <c r="AL59" i="7"/>
  <c r="AM59" i="7"/>
  <c r="AN59" i="7"/>
  <c r="AO59" i="7"/>
  <c r="AP59" i="7"/>
  <c r="AQ59" i="7"/>
  <c r="T59" i="7"/>
  <c r="U59" i="7"/>
  <c r="W59" i="7"/>
  <c r="Y59" i="7"/>
  <c r="Z59" i="7"/>
  <c r="AA59" i="7"/>
  <c r="AB59" i="7"/>
  <c r="AC59" i="7"/>
  <c r="AD59" i="7"/>
  <c r="G59" i="7"/>
  <c r="I59" i="7"/>
  <c r="J59" i="7"/>
  <c r="K59" i="7"/>
  <c r="L59" i="7"/>
  <c r="M59" i="7"/>
  <c r="N59" i="7"/>
  <c r="O59" i="7"/>
  <c r="P59" i="7"/>
  <c r="Q59" i="7"/>
  <c r="F59" i="7"/>
  <c r="V92" i="15" l="1"/>
  <c r="W29" i="15"/>
  <c r="U150" i="15"/>
  <c r="U155" i="15" s="1"/>
  <c r="T9" i="16" s="1"/>
  <c r="U104" i="15"/>
  <c r="T4" i="16" s="1"/>
  <c r="S113" i="15"/>
  <c r="X93" i="15"/>
  <c r="S111" i="15"/>
  <c r="W112" i="15"/>
  <c r="K326" i="15"/>
  <c r="K337" i="15" s="1"/>
  <c r="L161" i="15"/>
  <c r="Q167" i="15"/>
  <c r="R167" i="15" s="1"/>
  <c r="O163" i="15"/>
  <c r="P163" i="15" s="1"/>
  <c r="S165" i="15"/>
  <c r="T165" i="15" s="1"/>
  <c r="U165" i="15" s="1"/>
  <c r="S336" i="15"/>
  <c r="T336" i="15" s="1"/>
  <c r="U336" i="15" s="1"/>
  <c r="V336" i="15" s="1"/>
  <c r="W336" i="15" s="1"/>
  <c r="X336" i="15" s="1"/>
  <c r="Y336" i="15" s="1"/>
  <c r="Z336" i="15" s="1"/>
  <c r="AA336" i="15" s="1"/>
  <c r="AB336" i="15" s="1"/>
  <c r="AC336" i="15" s="1"/>
  <c r="AD336" i="15" s="1"/>
  <c r="AE336" i="15" s="1"/>
  <c r="O334" i="15"/>
  <c r="P334" i="15" s="1"/>
  <c r="Q334" i="15" s="1"/>
  <c r="R334" i="15" s="1"/>
  <c r="S334" i="15" s="1"/>
  <c r="T334" i="15" s="1"/>
  <c r="U334" i="15" s="1"/>
  <c r="V334" i="15" s="1"/>
  <c r="W334" i="15" s="1"/>
  <c r="X334" i="15" s="1"/>
  <c r="Y334" i="15" s="1"/>
  <c r="Z334" i="15" s="1"/>
  <c r="AA334" i="15" s="1"/>
  <c r="AB334" i="15" s="1"/>
  <c r="AC334" i="15" s="1"/>
  <c r="AD334" i="15" s="1"/>
  <c r="AE334" i="15" s="1"/>
  <c r="Q332" i="15"/>
  <c r="R332" i="15" s="1"/>
  <c r="S332" i="15" s="1"/>
  <c r="T332" i="15" s="1"/>
  <c r="U332" i="15" s="1"/>
  <c r="V332" i="15" s="1"/>
  <c r="W332" i="15" s="1"/>
  <c r="X332" i="15" s="1"/>
  <c r="Y332" i="15" s="1"/>
  <c r="Z332" i="15" s="1"/>
  <c r="AA332" i="15" s="1"/>
  <c r="AB332" i="15" s="1"/>
  <c r="AC332" i="15" s="1"/>
  <c r="AD332" i="15" s="1"/>
  <c r="AE332" i="15" s="1"/>
  <c r="T330" i="15"/>
  <c r="U330" i="15" s="1"/>
  <c r="V330" i="15" s="1"/>
  <c r="W330" i="15" s="1"/>
  <c r="X330" i="15" s="1"/>
  <c r="Y330" i="15" s="1"/>
  <c r="Z330" i="15" s="1"/>
  <c r="AA330" i="15" s="1"/>
  <c r="AB330" i="15" s="1"/>
  <c r="AC330" i="15" s="1"/>
  <c r="AD330" i="15" s="1"/>
  <c r="N159" i="15"/>
  <c r="Y90" i="15"/>
  <c r="Y109" i="15"/>
  <c r="Y108" i="15"/>
  <c r="Y144" i="15"/>
  <c r="Z353" i="15"/>
  <c r="Y12" i="16" s="1"/>
  <c r="AA81" i="15"/>
  <c r="Z81" i="15"/>
  <c r="AT20" i="7"/>
  <c r="AR16" i="7"/>
  <c r="AR20" i="7" s="1"/>
  <c r="AY32" i="7"/>
  <c r="AY33" i="7" s="1"/>
  <c r="AX32" i="7"/>
  <c r="AV32" i="7"/>
  <c r="AV33" i="7" s="1"/>
  <c r="AT33" i="7"/>
  <c r="BA35" i="7"/>
  <c r="BA32" i="7"/>
  <c r="AZ32" i="7"/>
  <c r="AZ33" i="7" s="1"/>
  <c r="AS32" i="7"/>
  <c r="AW32" i="7"/>
  <c r="AW33" i="7" s="1"/>
  <c r="AT34" i="7"/>
  <c r="AX35" i="7"/>
  <c r="AV34" i="7"/>
  <c r="AW34" i="7"/>
  <c r="AS34" i="7"/>
  <c r="AI6" i="9"/>
  <c r="AU23" i="7"/>
  <c r="AR41" i="7"/>
  <c r="AE63" i="7"/>
  <c r="AR59" i="7"/>
  <c r="E62" i="7"/>
  <c r="AF5" i="9"/>
  <c r="AE62" i="7"/>
  <c r="AH5" i="9"/>
  <c r="AZ48" i="7"/>
  <c r="BB48" i="7" s="1"/>
  <c r="BB41" i="7"/>
  <c r="AX41" i="7"/>
  <c r="AU24" i="7"/>
  <c r="AU16" i="7"/>
  <c r="AU20" i="7" s="1"/>
  <c r="R62" i="7"/>
  <c r="R63" i="7"/>
  <c r="AR23" i="7"/>
  <c r="AU22" i="7"/>
  <c r="AV48" i="7"/>
  <c r="AU48" i="7" s="1"/>
  <c r="AR48" i="7"/>
  <c r="AS47" i="7"/>
  <c r="AV47" i="7" s="1"/>
  <c r="AT47" i="7"/>
  <c r="AW47" i="7" s="1"/>
  <c r="AY47" i="7" s="1"/>
  <c r="E46" i="7"/>
  <c r="R46" i="7"/>
  <c r="AE46" i="7"/>
  <c r="AE47" i="7"/>
  <c r="E47" i="7"/>
  <c r="R47" i="7"/>
  <c r="E44" i="7"/>
  <c r="AE44" i="7"/>
  <c r="R44" i="7"/>
  <c r="B7" i="13"/>
  <c r="AG7" i="13" s="1"/>
  <c r="G37" i="7"/>
  <c r="H37" i="7"/>
  <c r="I37" i="7"/>
  <c r="J37" i="7"/>
  <c r="K37" i="7"/>
  <c r="BF28" i="7"/>
  <c r="Q38" i="7"/>
  <c r="BG24" i="7"/>
  <c r="BF24" i="7"/>
  <c r="BE24" i="7"/>
  <c r="BD24" i="7"/>
  <c r="G41" i="7"/>
  <c r="G49" i="7" s="1"/>
  <c r="H41" i="7"/>
  <c r="I41" i="7"/>
  <c r="J41" i="7"/>
  <c r="K41" i="7"/>
  <c r="F41" i="7"/>
  <c r="AJ39" i="7"/>
  <c r="AM39" i="7"/>
  <c r="AN39" i="7"/>
  <c r="AG38" i="7"/>
  <c r="AH38" i="7"/>
  <c r="AI38" i="7"/>
  <c r="AJ38" i="7"/>
  <c r="AK38" i="7"/>
  <c r="AL38" i="7"/>
  <c r="AM38" i="7"/>
  <c r="AN38" i="7"/>
  <c r="AO38" i="7"/>
  <c r="AP38" i="7"/>
  <c r="AQ38" i="7"/>
  <c r="AF38" i="7"/>
  <c r="Z39" i="7"/>
  <c r="S38" i="7"/>
  <c r="T38" i="7"/>
  <c r="U38" i="7"/>
  <c r="V38" i="7"/>
  <c r="W38" i="7"/>
  <c r="X38" i="7"/>
  <c r="Y38" i="7"/>
  <c r="Z38" i="7"/>
  <c r="AA38" i="7"/>
  <c r="AB38" i="7"/>
  <c r="AC38" i="7"/>
  <c r="AD38" i="7"/>
  <c r="G39" i="7"/>
  <c r="H39" i="7"/>
  <c r="I39" i="7"/>
  <c r="J39" i="7"/>
  <c r="K39" i="7"/>
  <c r="N39" i="7"/>
  <c r="F39" i="7"/>
  <c r="G38" i="7"/>
  <c r="H38" i="7"/>
  <c r="I38" i="7"/>
  <c r="J38" i="7"/>
  <c r="K38" i="7"/>
  <c r="L38" i="7"/>
  <c r="M38" i="7"/>
  <c r="N38" i="7"/>
  <c r="O38" i="7"/>
  <c r="P38" i="7"/>
  <c r="F38" i="7"/>
  <c r="BG28" i="7"/>
  <c r="BG16" i="7"/>
  <c r="BF16" i="7"/>
  <c r="BE16" i="7"/>
  <c r="BD16" i="7"/>
  <c r="B6" i="13"/>
  <c r="Y6" i="13" s="1"/>
  <c r="Y5" i="13" s="1"/>
  <c r="AM6" i="13"/>
  <c r="AM7" i="13"/>
  <c r="AN7" i="13"/>
  <c r="AM8" i="13"/>
  <c r="AN8" i="13"/>
  <c r="AO8" i="13"/>
  <c r="C10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B12" i="13"/>
  <c r="N12" i="13" s="1"/>
  <c r="B14" i="13"/>
  <c r="R14" i="13" s="1"/>
  <c r="P14" i="13"/>
  <c r="AM14" i="13"/>
  <c r="B15" i="13"/>
  <c r="K15" i="13" s="1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B43" i="13"/>
  <c r="O43" i="13" s="1"/>
  <c r="B18" i="13"/>
  <c r="R18" i="13" s="1"/>
  <c r="X18" i="13"/>
  <c r="B19" i="13"/>
  <c r="Y19" i="13" s="1"/>
  <c r="AG19" i="13"/>
  <c r="AM19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B21" i="13"/>
  <c r="AD21" i="13" s="1"/>
  <c r="AM21" i="13"/>
  <c r="AN21" i="13"/>
  <c r="B22" i="13"/>
  <c r="AG22" i="13" s="1"/>
  <c r="AM22" i="13"/>
  <c r="AN22" i="13"/>
  <c r="B23" i="13"/>
  <c r="AL23" i="13" s="1"/>
  <c r="AM23" i="13"/>
  <c r="AN23" i="13"/>
  <c r="AM24" i="13"/>
  <c r="AN24" i="13"/>
  <c r="AO24" i="13"/>
  <c r="AM25" i="13"/>
  <c r="AN25" i="13"/>
  <c r="AO25" i="13"/>
  <c r="E26" i="13"/>
  <c r="AM26" i="13" s="1"/>
  <c r="T26" i="13"/>
  <c r="X59" i="7" s="1"/>
  <c r="AO26" i="13"/>
  <c r="AM27" i="13"/>
  <c r="AN27" i="13"/>
  <c r="AO27" i="13"/>
  <c r="AM28" i="13"/>
  <c r="AN28" i="13"/>
  <c r="AO28" i="13"/>
  <c r="O29" i="13"/>
  <c r="AA29" i="13"/>
  <c r="AM29" i="13"/>
  <c r="I30" i="13"/>
  <c r="J30" i="13"/>
  <c r="M39" i="7" s="1"/>
  <c r="K30" i="13"/>
  <c r="L30" i="13"/>
  <c r="O39" i="7" s="1"/>
  <c r="M30" i="13"/>
  <c r="P39" i="7" s="1"/>
  <c r="N30" i="13"/>
  <c r="Q39" i="7" s="1"/>
  <c r="O30" i="13"/>
  <c r="S39" i="7" s="1"/>
  <c r="P30" i="13"/>
  <c r="T39" i="7" s="1"/>
  <c r="Q30" i="13"/>
  <c r="U39" i="7" s="1"/>
  <c r="R30" i="13"/>
  <c r="V39" i="7" s="1"/>
  <c r="S30" i="13"/>
  <c r="W39" i="7" s="1"/>
  <c r="T30" i="13"/>
  <c r="X39" i="7" s="1"/>
  <c r="U30" i="13"/>
  <c r="Y39" i="7" s="1"/>
  <c r="V30" i="13"/>
  <c r="W30" i="13"/>
  <c r="AA39" i="7" s="1"/>
  <c r="X30" i="13"/>
  <c r="AB39" i="7" s="1"/>
  <c r="Y30" i="13"/>
  <c r="AC39" i="7" s="1"/>
  <c r="Z30" i="13"/>
  <c r="AD39" i="7" s="1"/>
  <c r="AA30" i="13"/>
  <c r="AF39" i="7" s="1"/>
  <c r="AB30" i="13"/>
  <c r="AG39" i="7" s="1"/>
  <c r="AC30" i="13"/>
  <c r="AH39" i="7" s="1"/>
  <c r="AD30" i="13"/>
  <c r="AI39" i="7" s="1"/>
  <c r="AE30" i="13"/>
  <c r="AF30" i="13"/>
  <c r="AK39" i="7" s="1"/>
  <c r="AG30" i="13"/>
  <c r="AL39" i="7" s="1"/>
  <c r="AH30" i="13"/>
  <c r="AI30" i="13"/>
  <c r="AJ30" i="13"/>
  <c r="AO39" i="7" s="1"/>
  <c r="AK30" i="13"/>
  <c r="AP39" i="7" s="1"/>
  <c r="AL30" i="13"/>
  <c r="AQ39" i="7" s="1"/>
  <c r="AM31" i="13"/>
  <c r="AN31" i="13"/>
  <c r="AO31" i="13"/>
  <c r="AM32" i="13"/>
  <c r="AN32" i="13"/>
  <c r="AO32" i="13"/>
  <c r="O34" i="13"/>
  <c r="AN34" i="13" s="1"/>
  <c r="AM34" i="13"/>
  <c r="AO34" i="13"/>
  <c r="AM35" i="13"/>
  <c r="AN35" i="13"/>
  <c r="AO35" i="13"/>
  <c r="AM36" i="13"/>
  <c r="AN36" i="13"/>
  <c r="AO36" i="13"/>
  <c r="D38" i="13"/>
  <c r="E38" i="13"/>
  <c r="F38" i="13"/>
  <c r="G38" i="13"/>
  <c r="H38" i="13"/>
  <c r="I39" i="13"/>
  <c r="L41" i="7" s="1"/>
  <c r="J39" i="13"/>
  <c r="M41" i="7" s="1"/>
  <c r="K39" i="13"/>
  <c r="L39" i="13"/>
  <c r="M39" i="13"/>
  <c r="P41" i="7" s="1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K41" i="13"/>
  <c r="L41" i="13"/>
  <c r="M41" i="13"/>
  <c r="N41" i="13"/>
  <c r="O41" i="13"/>
  <c r="P41" i="13"/>
  <c r="Q41" i="13"/>
  <c r="R41" i="13"/>
  <c r="S41" i="13"/>
  <c r="W41" i="7" s="1"/>
  <c r="T41" i="13"/>
  <c r="K42" i="13"/>
  <c r="L42" i="13"/>
  <c r="M42" i="13"/>
  <c r="N42" i="13"/>
  <c r="O42" i="13"/>
  <c r="P42" i="13"/>
  <c r="Q42" i="13"/>
  <c r="R42" i="13"/>
  <c r="S42" i="13"/>
  <c r="T42" i="13"/>
  <c r="N44" i="13"/>
  <c r="Q43" i="7" s="1"/>
  <c r="E43" i="7" s="1"/>
  <c r="T44" i="13"/>
  <c r="X43" i="7" s="1"/>
  <c r="Z44" i="13"/>
  <c r="AF44" i="13"/>
  <c r="AL44" i="13"/>
  <c r="AM45" i="13"/>
  <c r="AN45" i="13"/>
  <c r="AO45" i="13"/>
  <c r="AM46" i="13"/>
  <c r="AN46" i="13"/>
  <c r="AO46" i="13"/>
  <c r="I47" i="13"/>
  <c r="K47" i="13"/>
  <c r="M47" i="13"/>
  <c r="P45" i="7" s="1"/>
  <c r="O47" i="13"/>
  <c r="Q47" i="13"/>
  <c r="U45" i="7" s="1"/>
  <c r="S47" i="13"/>
  <c r="W45" i="7" s="1"/>
  <c r="U47" i="13"/>
  <c r="Y45" i="7" s="1"/>
  <c r="W47" i="13"/>
  <c r="Y47" i="13"/>
  <c r="AC45" i="7" s="1"/>
  <c r="AA47" i="13"/>
  <c r="AC47" i="13"/>
  <c r="AH45" i="7" s="1"/>
  <c r="AE47" i="13"/>
  <c r="AJ45" i="7" s="1"/>
  <c r="AG47" i="13"/>
  <c r="AL45" i="7" s="1"/>
  <c r="AI47" i="13"/>
  <c r="AK47" i="13"/>
  <c r="AP45" i="7" s="1"/>
  <c r="C48" i="13"/>
  <c r="I48" i="13"/>
  <c r="L48" i="13"/>
  <c r="O45" i="7" s="1"/>
  <c r="O48" i="13"/>
  <c r="R48" i="13"/>
  <c r="X48" i="13"/>
  <c r="AB45" i="7" s="1"/>
  <c r="AA48" i="13"/>
  <c r="AD48" i="13"/>
  <c r="AI45" i="7" s="1"/>
  <c r="AG48" i="13"/>
  <c r="AJ48" i="13"/>
  <c r="AO45" i="7" s="1"/>
  <c r="AM49" i="13"/>
  <c r="AN49" i="13"/>
  <c r="AO49" i="13"/>
  <c r="B50" i="13"/>
  <c r="T50" i="13" s="1"/>
  <c r="AM51" i="13"/>
  <c r="AN51" i="13"/>
  <c r="AO51" i="13"/>
  <c r="AM52" i="13"/>
  <c r="AN52" i="13"/>
  <c r="AO52" i="13"/>
  <c r="D54" i="13"/>
  <c r="AM55" i="13"/>
  <c r="AN55" i="13"/>
  <c r="AO55" i="13"/>
  <c r="E56" i="13"/>
  <c r="H42" i="7" s="1"/>
  <c r="N57" i="13"/>
  <c r="Q48" i="7" s="1"/>
  <c r="E48" i="7" s="1"/>
  <c r="Z57" i="13"/>
  <c r="AL57" i="13"/>
  <c r="C65" i="13"/>
  <c r="F63" i="7" s="1"/>
  <c r="E63" i="7" s="1"/>
  <c r="V165" i="15" l="1"/>
  <c r="W92" i="15"/>
  <c r="X29" i="15"/>
  <c r="V150" i="15"/>
  <c r="V155" i="15" s="1"/>
  <c r="U9" i="16" s="1"/>
  <c r="V104" i="15"/>
  <c r="U4" i="16" s="1"/>
  <c r="Y93" i="15"/>
  <c r="T111" i="15"/>
  <c r="T113" i="15"/>
  <c r="X112" i="15"/>
  <c r="L326" i="15"/>
  <c r="L337" i="15" s="1"/>
  <c r="M161" i="15"/>
  <c r="O159" i="15"/>
  <c r="S167" i="15"/>
  <c r="T167" i="15" s="1"/>
  <c r="U167" i="15" s="1"/>
  <c r="V167" i="15" s="1"/>
  <c r="W167" i="15" s="1"/>
  <c r="X167" i="15" s="1"/>
  <c r="Y167" i="15" s="1"/>
  <c r="Z167" i="15" s="1"/>
  <c r="AA167" i="15" s="1"/>
  <c r="AB167" i="15" s="1"/>
  <c r="AC167" i="15" s="1"/>
  <c r="AD167" i="15" s="1"/>
  <c r="AE167" i="15" s="1"/>
  <c r="AE330" i="15"/>
  <c r="Q163" i="15"/>
  <c r="R163" i="15" s="1"/>
  <c r="S163" i="15" s="1"/>
  <c r="Z144" i="15"/>
  <c r="AB81" i="15"/>
  <c r="Z108" i="15"/>
  <c r="Z90" i="15"/>
  <c r="Z109" i="15"/>
  <c r="AA90" i="15"/>
  <c r="AA109" i="15"/>
  <c r="AA108" i="15"/>
  <c r="AR34" i="7"/>
  <c r="F40" i="7"/>
  <c r="G40" i="7"/>
  <c r="G50" i="7" s="1"/>
  <c r="G52" i="7" s="1"/>
  <c r="H49" i="7"/>
  <c r="K40" i="7"/>
  <c r="AF19" i="13"/>
  <c r="U19" i="13"/>
  <c r="AH12" i="13"/>
  <c r="AF12" i="13"/>
  <c r="L12" i="13"/>
  <c r="K12" i="13"/>
  <c r="J12" i="13"/>
  <c r="AX33" i="7"/>
  <c r="AS33" i="7"/>
  <c r="BA33" i="7"/>
  <c r="J40" i="7"/>
  <c r="I40" i="7"/>
  <c r="AR32" i="7"/>
  <c r="H40" i="7"/>
  <c r="AU32" i="7"/>
  <c r="AU33" i="7" s="1"/>
  <c r="BD20" i="7"/>
  <c r="BD34" i="7"/>
  <c r="BE34" i="7"/>
  <c r="BF34" i="7"/>
  <c r="BG34" i="7"/>
  <c r="AG5" i="9"/>
  <c r="AU34" i="7"/>
  <c r="AX48" i="7"/>
  <c r="AH6" i="9"/>
  <c r="N7" i="14"/>
  <c r="AG6" i="9"/>
  <c r="J10" i="13"/>
  <c r="AH7" i="13"/>
  <c r="N41" i="7"/>
  <c r="AJ7" i="13"/>
  <c r="AI7" i="13"/>
  <c r="L45" i="7"/>
  <c r="AK7" i="13"/>
  <c r="Q41" i="7"/>
  <c r="AL21" i="13"/>
  <c r="AB18" i="13"/>
  <c r="E38" i="7"/>
  <c r="AF6" i="9"/>
  <c r="AZ47" i="7"/>
  <c r="BB47" i="7" s="1"/>
  <c r="BC48" i="7"/>
  <c r="BA48" i="7" s="1"/>
  <c r="BC41" i="7"/>
  <c r="AU47" i="7"/>
  <c r="AR47" i="7"/>
  <c r="R38" i="7"/>
  <c r="AB15" i="13"/>
  <c r="AC12" i="13"/>
  <c r="AA50" i="13"/>
  <c r="Z15" i="13"/>
  <c r="AE14" i="13"/>
  <c r="AB12" i="13"/>
  <c r="AJ14" i="13"/>
  <c r="AG14" i="13"/>
  <c r="AF14" i="13"/>
  <c r="X50" i="13"/>
  <c r="AM30" i="13"/>
  <c r="AJ19" i="13"/>
  <c r="T15" i="13"/>
  <c r="AB14" i="13"/>
  <c r="AA12" i="13"/>
  <c r="AF6" i="13"/>
  <c r="AF5" i="13" s="1"/>
  <c r="AE15" i="13"/>
  <c r="O14" i="13"/>
  <c r="O50" i="13"/>
  <c r="V41" i="7"/>
  <c r="R15" i="13"/>
  <c r="Y14" i="13"/>
  <c r="Z12" i="13"/>
  <c r="N37" i="7"/>
  <c r="N40" i="7" s="1"/>
  <c r="AA6" i="13"/>
  <c r="AA5" i="13" s="1"/>
  <c r="AH15" i="13"/>
  <c r="AF15" i="13"/>
  <c r="AC15" i="13"/>
  <c r="L50" i="13"/>
  <c r="L38" i="13" s="1"/>
  <c r="U41" i="7"/>
  <c r="P15" i="13"/>
  <c r="X14" i="13"/>
  <c r="X12" i="13"/>
  <c r="M37" i="7"/>
  <c r="M40" i="7" s="1"/>
  <c r="X6" i="13"/>
  <c r="X5" i="13" s="1"/>
  <c r="K50" i="13"/>
  <c r="K38" i="13" s="1"/>
  <c r="T41" i="7"/>
  <c r="X19" i="13"/>
  <c r="O15" i="13"/>
  <c r="W14" i="13"/>
  <c r="R12" i="13"/>
  <c r="W6" i="13"/>
  <c r="W5" i="13" s="1"/>
  <c r="K10" i="13"/>
  <c r="AF41" i="7"/>
  <c r="S41" i="7"/>
  <c r="M15" i="13"/>
  <c r="T14" i="13"/>
  <c r="P12" i="13"/>
  <c r="S45" i="7"/>
  <c r="AJ15" i="13"/>
  <c r="L15" i="13"/>
  <c r="L10" i="13" s="1"/>
  <c r="Q14" i="13"/>
  <c r="M12" i="13"/>
  <c r="AJ5" i="9"/>
  <c r="AE38" i="7"/>
  <c r="AM57" i="13"/>
  <c r="C38" i="13"/>
  <c r="C61" i="13" s="1"/>
  <c r="C62" i="13" s="1"/>
  <c r="C67" i="13" s="1"/>
  <c r="F45" i="7"/>
  <c r="F49" i="7" s="1"/>
  <c r="AO44" i="13"/>
  <c r="AK43" i="7"/>
  <c r="AJ23" i="13"/>
  <c r="AC21" i="13"/>
  <c r="Q43" i="13"/>
  <c r="Q38" i="13" s="1"/>
  <c r="AO16" i="13"/>
  <c r="AO57" i="13"/>
  <c r="AQ48" i="7"/>
  <c r="AE48" i="7" s="1"/>
  <c r="AO48" i="13"/>
  <c r="AN44" i="13"/>
  <c r="AD43" i="7"/>
  <c r="R43" i="7" s="1"/>
  <c r="AI23" i="13"/>
  <c r="AB21" i="13"/>
  <c r="AI19" i="13"/>
  <c r="W19" i="13"/>
  <c r="AA18" i="13"/>
  <c r="AL43" i="13"/>
  <c r="AL38" i="13" s="1"/>
  <c r="N43" i="13"/>
  <c r="N38" i="13" s="1"/>
  <c r="AM11" i="13"/>
  <c r="AE6" i="13"/>
  <c r="AC41" i="7"/>
  <c r="AN57" i="13"/>
  <c r="AD48" i="7"/>
  <c r="R48" i="7" s="1"/>
  <c r="AM48" i="13"/>
  <c r="AO47" i="13"/>
  <c r="AN45" i="7"/>
  <c r="AT45" i="7" s="1"/>
  <c r="AW45" i="7" s="1"/>
  <c r="AZ45" i="7" s="1"/>
  <c r="BC45" i="7" s="1"/>
  <c r="AM47" i="13"/>
  <c r="N45" i="7"/>
  <c r="AO29" i="13"/>
  <c r="AF59" i="7"/>
  <c r="E10" i="13"/>
  <c r="H59" i="7"/>
  <c r="AH23" i="13"/>
  <c r="AA21" i="13"/>
  <c r="AH19" i="13"/>
  <c r="V19" i="13"/>
  <c r="Y18" i="13"/>
  <c r="AK43" i="13"/>
  <c r="AK38" i="13" s="1"/>
  <c r="M43" i="13"/>
  <c r="M38" i="13" s="1"/>
  <c r="AG15" i="13"/>
  <c r="Q15" i="13"/>
  <c r="AE12" i="13"/>
  <c r="O12" i="13"/>
  <c r="AD6" i="13"/>
  <c r="O41" i="7"/>
  <c r="AL7" i="13"/>
  <c r="AK21" i="13"/>
  <c r="W18" i="13"/>
  <c r="AG43" i="13"/>
  <c r="AN16" i="13"/>
  <c r="AJ21" i="13"/>
  <c r="AL18" i="13"/>
  <c r="L39" i="7"/>
  <c r="E39" i="7" s="1"/>
  <c r="AK41" i="7"/>
  <c r="AF45" i="7"/>
  <c r="AS45" i="7" s="1"/>
  <c r="AV45" i="7" s="1"/>
  <c r="AY45" i="7" s="1"/>
  <c r="AI21" i="13"/>
  <c r="AJ18" i="13"/>
  <c r="AB43" i="13"/>
  <c r="AB38" i="13" s="1"/>
  <c r="J50" i="13"/>
  <c r="J38" i="13" s="1"/>
  <c r="AN48" i="13"/>
  <c r="V45" i="7"/>
  <c r="AA45" i="7"/>
  <c r="AJ22" i="13"/>
  <c r="AG21" i="13"/>
  <c r="AB19" i="13"/>
  <c r="AG18" i="13"/>
  <c r="Q18" i="13"/>
  <c r="Y43" i="13"/>
  <c r="Y38" i="13" s="1"/>
  <c r="Y15" i="13"/>
  <c r="W12" i="13"/>
  <c r="AO20" i="13"/>
  <c r="AD43" i="13"/>
  <c r="AD38" i="13" s="1"/>
  <c r="AL22" i="13"/>
  <c r="AD19" i="13"/>
  <c r="AM17" i="13"/>
  <c r="AH21" i="13"/>
  <c r="AC19" i="13"/>
  <c r="S18" i="13"/>
  <c r="AI22" i="13"/>
  <c r="AF21" i="13"/>
  <c r="AA19" i="13"/>
  <c r="AF18" i="13"/>
  <c r="P18" i="13"/>
  <c r="V43" i="13"/>
  <c r="V38" i="13" s="1"/>
  <c r="X15" i="13"/>
  <c r="AK12" i="13"/>
  <c r="U12" i="13"/>
  <c r="AE19" i="13"/>
  <c r="T18" i="13"/>
  <c r="AK22" i="13"/>
  <c r="AN11" i="13"/>
  <c r="AM44" i="13"/>
  <c r="AH22" i="13"/>
  <c r="AE21" i="13"/>
  <c r="AL19" i="13"/>
  <c r="Z19" i="13"/>
  <c r="AE18" i="13"/>
  <c r="O18" i="13"/>
  <c r="U43" i="13"/>
  <c r="U38" i="13" s="1"/>
  <c r="AM16" i="13"/>
  <c r="W15" i="13"/>
  <c r="AJ12" i="13"/>
  <c r="T12" i="13"/>
  <c r="AN29" i="13"/>
  <c r="AJ43" i="13"/>
  <c r="AJ38" i="13" s="1"/>
  <c r="V18" i="13"/>
  <c r="AC43" i="13"/>
  <c r="AC38" i="13" s="1"/>
  <c r="AI18" i="13"/>
  <c r="AQ43" i="7"/>
  <c r="AN26" i="13"/>
  <c r="AK23" i="13"/>
  <c r="AK19" i="13"/>
  <c r="AD18" i="13"/>
  <c r="N18" i="13"/>
  <c r="T43" i="13"/>
  <c r="T38" i="13" s="1"/>
  <c r="AK15" i="13"/>
  <c r="U15" i="13"/>
  <c r="AI12" i="13"/>
  <c r="S12" i="13"/>
  <c r="AI6" i="13"/>
  <c r="R39" i="7"/>
  <c r="AE39" i="7"/>
  <c r="AS39" i="7" s="1"/>
  <c r="BA15" i="7"/>
  <c r="F56" i="13"/>
  <c r="I42" i="7" s="1"/>
  <c r="I49" i="7" s="1"/>
  <c r="AO39" i="13"/>
  <c r="AN40" i="13"/>
  <c r="AM39" i="13"/>
  <c r="AN30" i="13"/>
  <c r="AO11" i="13"/>
  <c r="AN47" i="13"/>
  <c r="AN39" i="13"/>
  <c r="AO17" i="13"/>
  <c r="E54" i="13"/>
  <c r="E61" i="13" s="1"/>
  <c r="E62" i="13" s="1"/>
  <c r="E67" i="13" s="1"/>
  <c r="AO40" i="13"/>
  <c r="AO30" i="13"/>
  <c r="AN17" i="13"/>
  <c r="D61" i="13"/>
  <c r="D62" i="13" s="1"/>
  <c r="D67" i="13" s="1"/>
  <c r="AL6" i="13"/>
  <c r="V6" i="13"/>
  <c r="AG50" i="13"/>
  <c r="AO50" i="13" s="1"/>
  <c r="I50" i="13"/>
  <c r="AA38" i="13"/>
  <c r="AG23" i="13"/>
  <c r="AK18" i="13"/>
  <c r="AC18" i="13"/>
  <c r="U18" i="13"/>
  <c r="M18" i="13"/>
  <c r="AI43" i="13"/>
  <c r="AI38" i="13" s="1"/>
  <c r="AA43" i="13"/>
  <c r="S43" i="13"/>
  <c r="S38" i="13" s="1"/>
  <c r="AL15" i="13"/>
  <c r="AD15" i="13"/>
  <c r="V15" i="13"/>
  <c r="N15" i="13"/>
  <c r="AL14" i="13"/>
  <c r="AD14" i="13"/>
  <c r="V14" i="13"/>
  <c r="AG12" i="13"/>
  <c r="Y12" i="13"/>
  <c r="Q12" i="13"/>
  <c r="I12" i="13"/>
  <c r="AK6" i="13"/>
  <c r="AC6" i="13"/>
  <c r="AC5" i="13" s="1"/>
  <c r="U6" i="13"/>
  <c r="AH43" i="13"/>
  <c r="AH38" i="13" s="1"/>
  <c r="Z43" i="13"/>
  <c r="Z38" i="13" s="1"/>
  <c r="R43" i="13"/>
  <c r="AK14" i="13"/>
  <c r="AC14" i="13"/>
  <c r="U14" i="13"/>
  <c r="AJ6" i="13"/>
  <c r="AJ5" i="13" s="1"/>
  <c r="AB6" i="13"/>
  <c r="AB5" i="13" s="1"/>
  <c r="T6" i="13"/>
  <c r="X41" i="7" s="1"/>
  <c r="AH18" i="13"/>
  <c r="Z18" i="13"/>
  <c r="AF43" i="13"/>
  <c r="AF38" i="13" s="1"/>
  <c r="X43" i="13"/>
  <c r="P43" i="13"/>
  <c r="P38" i="13" s="1"/>
  <c r="AI15" i="13"/>
  <c r="AA15" i="13"/>
  <c r="S15" i="13"/>
  <c r="AI14" i="13"/>
  <c r="AA14" i="13"/>
  <c r="S14" i="13"/>
  <c r="AL12" i="13"/>
  <c r="AD12" i="13"/>
  <c r="V12" i="13"/>
  <c r="AH6" i="13"/>
  <c r="AH5" i="13" s="1"/>
  <c r="Z6" i="13"/>
  <c r="AE43" i="13"/>
  <c r="AE38" i="13" s="1"/>
  <c r="W43" i="13"/>
  <c r="W38" i="13" s="1"/>
  <c r="AH14" i="13"/>
  <c r="Z14" i="13"/>
  <c r="AG6" i="13"/>
  <c r="BG29" i="7"/>
  <c r="BG30" i="7" s="1"/>
  <c r="BG25" i="7"/>
  <c r="BF25" i="7"/>
  <c r="BE25" i="7"/>
  <c r="BD25" i="7"/>
  <c r="BF29" i="7"/>
  <c r="BF30" i="7" s="1"/>
  <c r="BE29" i="7"/>
  <c r="BE30" i="7" s="1"/>
  <c r="BD29" i="7"/>
  <c r="X92" i="15" l="1"/>
  <c r="Y29" i="15"/>
  <c r="W150" i="15"/>
  <c r="W155" i="15" s="1"/>
  <c r="V9" i="16" s="1"/>
  <c r="W104" i="15"/>
  <c r="V4" i="16" s="1"/>
  <c r="W165" i="15"/>
  <c r="U111" i="15"/>
  <c r="U113" i="15"/>
  <c r="Y112" i="15"/>
  <c r="Z93" i="15"/>
  <c r="BD30" i="7"/>
  <c r="BD31" i="7"/>
  <c r="BD36" i="7" s="1"/>
  <c r="M326" i="15"/>
  <c r="M337" i="15" s="1"/>
  <c r="N161" i="15"/>
  <c r="P159" i="15"/>
  <c r="T163" i="15"/>
  <c r="U163" i="15" s="1"/>
  <c r="V163" i="15" s="1"/>
  <c r="W163" i="15" s="1"/>
  <c r="X163" i="15" s="1"/>
  <c r="Y163" i="15" s="1"/>
  <c r="Z163" i="15" s="1"/>
  <c r="AA163" i="15" s="1"/>
  <c r="AB163" i="15" s="1"/>
  <c r="AC163" i="15" s="1"/>
  <c r="AD163" i="15" s="1"/>
  <c r="AE163" i="15" s="1"/>
  <c r="AB108" i="15"/>
  <c r="AB109" i="15"/>
  <c r="AB90" i="15"/>
  <c r="AB353" i="15"/>
  <c r="AA12" i="16" s="1"/>
  <c r="AA144" i="15"/>
  <c r="AA353" i="15"/>
  <c r="Z12" i="16" s="1"/>
  <c r="AC81" i="15"/>
  <c r="F50" i="7"/>
  <c r="F52" i="7" s="1"/>
  <c r="F53" i="7" s="1"/>
  <c r="G53" i="7" s="1"/>
  <c r="H50" i="7"/>
  <c r="I50" i="7"/>
  <c r="I52" i="7" s="1"/>
  <c r="AO7" i="13"/>
  <c r="AN50" i="13"/>
  <c r="R10" i="13"/>
  <c r="AR33" i="7"/>
  <c r="BA41" i="7"/>
  <c r="BD15" i="7"/>
  <c r="BD41" i="7" s="1"/>
  <c r="AJ8" i="9"/>
  <c r="BD26" i="7"/>
  <c r="AK8" i="9"/>
  <c r="AM8" i="9"/>
  <c r="AL8" i="9"/>
  <c r="N11" i="14"/>
  <c r="AZ54" i="7"/>
  <c r="AM43" i="13"/>
  <c r="AN19" i="13"/>
  <c r="X38" i="13"/>
  <c r="AO19" i="13"/>
  <c r="AO22" i="13"/>
  <c r="AO41" i="7"/>
  <c r="O38" i="13"/>
  <c r="Z37" i="7"/>
  <c r="Z40" i="7" s="1"/>
  <c r="E41" i="7"/>
  <c r="AH37" i="7"/>
  <c r="AH40" i="7" s="1"/>
  <c r="R38" i="13"/>
  <c r="AN38" i="13" s="1"/>
  <c r="AC37" i="7"/>
  <c r="AC40" i="7" s="1"/>
  <c r="AM18" i="13"/>
  <c r="W37" i="7"/>
  <c r="W40" i="7" s="1"/>
  <c r="BB45" i="7"/>
  <c r="BA45" i="7" s="1"/>
  <c r="BD45" i="7" s="1"/>
  <c r="BE45" i="7" s="1"/>
  <c r="BF45" i="7" s="1"/>
  <c r="BG45" i="7" s="1"/>
  <c r="AX45" i="7"/>
  <c r="BC47" i="7"/>
  <c r="BA47" i="7" s="1"/>
  <c r="BD47" i="7" s="1"/>
  <c r="BE47" i="7" s="1"/>
  <c r="BF47" i="7" s="1"/>
  <c r="BG47" i="7" s="1"/>
  <c r="BD48" i="7"/>
  <c r="BE48" i="7" s="1"/>
  <c r="BF48" i="7" s="1"/>
  <c r="BG48" i="7" s="1"/>
  <c r="AX47" i="7"/>
  <c r="AU45" i="7"/>
  <c r="AV39" i="7"/>
  <c r="AY39" i="7" s="1"/>
  <c r="BB39" i="7" s="1"/>
  <c r="R59" i="7"/>
  <c r="E59" i="7"/>
  <c r="AE59" i="7"/>
  <c r="AS38" i="7"/>
  <c r="AT38" i="7" s="1"/>
  <c r="AR38" i="7" s="1"/>
  <c r="AV38" i="7" s="1"/>
  <c r="AY38" i="7" s="1"/>
  <c r="BB38" i="7" s="1"/>
  <c r="AR45" i="7"/>
  <c r="AT39" i="7"/>
  <c r="AR39" i="7" s="1"/>
  <c r="H52" i="7"/>
  <c r="AB41" i="7"/>
  <c r="AB10" i="13"/>
  <c r="AM12" i="13"/>
  <c r="AO43" i="13"/>
  <c r="O10" i="13"/>
  <c r="O37" i="7"/>
  <c r="O40" i="7" s="1"/>
  <c r="AN14" i="13"/>
  <c r="U37" i="7"/>
  <c r="U40" i="7" s="1"/>
  <c r="AJ37" i="7"/>
  <c r="AJ40" i="7" s="1"/>
  <c r="AB37" i="7"/>
  <c r="AB40" i="7" s="1"/>
  <c r="AM37" i="7"/>
  <c r="AM40" i="7" s="1"/>
  <c r="AD10" i="13"/>
  <c r="X37" i="7"/>
  <c r="X40" i="7" s="1"/>
  <c r="AK37" i="7"/>
  <c r="AK40" i="7" s="1"/>
  <c r="AH41" i="7"/>
  <c r="AG38" i="13"/>
  <c r="U10" i="13"/>
  <c r="AD37" i="7"/>
  <c r="AD40" i="7" s="1"/>
  <c r="AC10" i="13"/>
  <c r="L37" i="7"/>
  <c r="L40" i="7" s="1"/>
  <c r="AA41" i="7"/>
  <c r="G56" i="7"/>
  <c r="R45" i="7"/>
  <c r="E45" i="7"/>
  <c r="AE43" i="7"/>
  <c r="AE5" i="13"/>
  <c r="AJ41" i="7"/>
  <c r="N10" i="13"/>
  <c r="Q37" i="7"/>
  <c r="Q40" i="7" s="1"/>
  <c r="AK5" i="13"/>
  <c r="AP41" i="7"/>
  <c r="AL5" i="13"/>
  <c r="AQ41" i="7"/>
  <c r="AL10" i="13"/>
  <c r="AQ37" i="7"/>
  <c r="AQ40" i="7" s="1"/>
  <c r="AD5" i="13"/>
  <c r="AI41" i="7"/>
  <c r="AI10" i="13"/>
  <c r="AO37" i="7"/>
  <c r="AO40" i="7" s="1"/>
  <c r="AN15" i="13"/>
  <c r="P37" i="7"/>
  <c r="P40" i="7" s="1"/>
  <c r="AN43" i="13"/>
  <c r="AA37" i="7"/>
  <c r="AA40" i="7" s="1"/>
  <c r="V37" i="7"/>
  <c r="V40" i="7" s="1"/>
  <c r="Z5" i="13"/>
  <c r="AD41" i="7"/>
  <c r="X10" i="13"/>
  <c r="T37" i="7"/>
  <c r="T40" i="7" s="1"/>
  <c r="AI37" i="7"/>
  <c r="AI40" i="7" s="1"/>
  <c r="AI5" i="13"/>
  <c r="AN41" i="7"/>
  <c r="Q10" i="13"/>
  <c r="AG10" i="13"/>
  <c r="AL37" i="7"/>
  <c r="AL40" i="7" s="1"/>
  <c r="AO18" i="13"/>
  <c r="AO15" i="13"/>
  <c r="AK10" i="13"/>
  <c r="AE10" i="13"/>
  <c r="Y10" i="13"/>
  <c r="Y37" i="7"/>
  <c r="Y40" i="7" s="1"/>
  <c r="AG37" i="7"/>
  <c r="AG40" i="7" s="1"/>
  <c r="AO21" i="13"/>
  <c r="AE45" i="7"/>
  <c r="AF37" i="7"/>
  <c r="AF40" i="7" s="1"/>
  <c r="AA10" i="13"/>
  <c r="AN37" i="7"/>
  <c r="AN40" i="7" s="1"/>
  <c r="AG5" i="13"/>
  <c r="AL41" i="7"/>
  <c r="AN18" i="13"/>
  <c r="T10" i="13"/>
  <c r="W10" i="13"/>
  <c r="AO23" i="13"/>
  <c r="AJ10" i="13"/>
  <c r="AO38" i="13"/>
  <c r="AF10" i="13"/>
  <c r="U5" i="13"/>
  <c r="Y41" i="7"/>
  <c r="V10" i="13"/>
  <c r="V5" i="13"/>
  <c r="Z41" i="7"/>
  <c r="S37" i="7"/>
  <c r="S40" i="7" s="1"/>
  <c r="AP37" i="7"/>
  <c r="AP40" i="7" s="1"/>
  <c r="AM41" i="7"/>
  <c r="AG41" i="7"/>
  <c r="BG31" i="7"/>
  <c r="BG36" i="7" s="1"/>
  <c r="BF31" i="7"/>
  <c r="BF36" i="7" s="1"/>
  <c r="BE31" i="7"/>
  <c r="BE36" i="7" s="1"/>
  <c r="BD27" i="7"/>
  <c r="I38" i="13"/>
  <c r="AM38" i="13" s="1"/>
  <c r="AM50" i="13"/>
  <c r="I10" i="13"/>
  <c r="F54" i="13"/>
  <c r="G56" i="13"/>
  <c r="J42" i="7" s="1"/>
  <c r="J49" i="7" s="1"/>
  <c r="J50" i="7" s="1"/>
  <c r="AO6" i="13"/>
  <c r="T5" i="13"/>
  <c r="AN6" i="13"/>
  <c r="AN12" i="13"/>
  <c r="P10" i="13"/>
  <c r="AO12" i="13"/>
  <c r="AH10" i="13"/>
  <c r="Z10" i="13"/>
  <c r="S10" i="13"/>
  <c r="M10" i="13"/>
  <c r="AM15" i="13"/>
  <c r="C68" i="13"/>
  <c r="AO14" i="13"/>
  <c r="Q10" i="14" l="1"/>
  <c r="J345" i="15" s="1"/>
  <c r="I22" i="16" s="1"/>
  <c r="X165" i="15"/>
  <c r="Y92" i="15"/>
  <c r="Z29" i="15"/>
  <c r="X150" i="15"/>
  <c r="X155" i="15" s="1"/>
  <c r="W9" i="16" s="1"/>
  <c r="X104" i="15"/>
  <c r="W4" i="16" s="1"/>
  <c r="V111" i="15"/>
  <c r="Z112" i="15"/>
  <c r="V113" i="15"/>
  <c r="AA93" i="15"/>
  <c r="N326" i="15"/>
  <c r="N337" i="15" s="1"/>
  <c r="O161" i="15"/>
  <c r="P161" i="15" s="1"/>
  <c r="Q159" i="15"/>
  <c r="AC108" i="15"/>
  <c r="AC109" i="15"/>
  <c r="AC90" i="15"/>
  <c r="AB144" i="15"/>
  <c r="BE15" i="7"/>
  <c r="BE41" i="7" s="1"/>
  <c r="BD32" i="7"/>
  <c r="BD35" i="7"/>
  <c r="Q11" i="14"/>
  <c r="R8" i="14" s="1"/>
  <c r="R9" i="14" s="1"/>
  <c r="AX64" i="7"/>
  <c r="AZ64" i="7" s="1"/>
  <c r="BC39" i="7"/>
  <c r="BD39" i="7" s="1"/>
  <c r="BC38" i="7"/>
  <c r="BD38" i="7" s="1"/>
  <c r="BF51" i="7"/>
  <c r="AZ51" i="7"/>
  <c r="AX51" i="7"/>
  <c r="BE51" i="7"/>
  <c r="BD51" i="7"/>
  <c r="BC51" i="7"/>
  <c r="AW51" i="7"/>
  <c r="BG51" i="7"/>
  <c r="BA51" i="7"/>
  <c r="AD51" i="7"/>
  <c r="AR51" i="7"/>
  <c r="AZ38" i="7"/>
  <c r="AX38" i="7" s="1"/>
  <c r="AZ39" i="7"/>
  <c r="AX39" i="7" s="1"/>
  <c r="AJ6" i="9"/>
  <c r="AQ51" i="7"/>
  <c r="AE51" i="7"/>
  <c r="AU51" i="7"/>
  <c r="G57" i="7"/>
  <c r="R51" i="7"/>
  <c r="AT51" i="7"/>
  <c r="AW38" i="7"/>
  <c r="AU38" i="7" s="1"/>
  <c r="AW39" i="7"/>
  <c r="AU39" i="7" s="1"/>
  <c r="H53" i="7"/>
  <c r="I53" i="7" s="1"/>
  <c r="AS43" i="7"/>
  <c r="H56" i="7"/>
  <c r="E37" i="7"/>
  <c r="E40" i="7" s="1"/>
  <c r="D68" i="13"/>
  <c r="E68" i="13" s="1"/>
  <c r="F56" i="7"/>
  <c r="R41" i="7"/>
  <c r="I56" i="7"/>
  <c r="AE41" i="7"/>
  <c r="AE37" i="7"/>
  <c r="AO10" i="13"/>
  <c r="R37" i="7"/>
  <c r="R40" i="7" s="1"/>
  <c r="J52" i="7"/>
  <c r="G54" i="13"/>
  <c r="G61" i="13" s="1"/>
  <c r="G62" i="13" s="1"/>
  <c r="G67" i="13" s="1"/>
  <c r="H56" i="13"/>
  <c r="K42" i="7" s="1"/>
  <c r="K49" i="7" s="1"/>
  <c r="K50" i="7" s="1"/>
  <c r="F61" i="13"/>
  <c r="AM10" i="13"/>
  <c r="AN10" i="13"/>
  <c r="BE8" i="7"/>
  <c r="BE17" i="7" s="1"/>
  <c r="P4" i="5"/>
  <c r="O4" i="5"/>
  <c r="N4" i="5"/>
  <c r="M4" i="5"/>
  <c r="L4" i="5"/>
  <c r="K4" i="5"/>
  <c r="J4" i="5"/>
  <c r="I4" i="5"/>
  <c r="H4" i="5"/>
  <c r="G4" i="5"/>
  <c r="F4" i="5"/>
  <c r="E4" i="5"/>
  <c r="C4" i="5"/>
  <c r="R10" i="14" l="1"/>
  <c r="J16" i="16"/>
  <c r="Y165" i="15"/>
  <c r="Z92" i="15"/>
  <c r="AA29" i="15"/>
  <c r="Y150" i="15"/>
  <c r="Y155" i="15" s="1"/>
  <c r="X9" i="16" s="1"/>
  <c r="Y104" i="15"/>
  <c r="X4" i="16" s="1"/>
  <c r="W111" i="15"/>
  <c r="AA112" i="15"/>
  <c r="W113" i="15"/>
  <c r="AB93" i="15"/>
  <c r="O326" i="15"/>
  <c r="O337" i="15" s="1"/>
  <c r="Q161" i="15"/>
  <c r="R159" i="15"/>
  <c r="AC144" i="15"/>
  <c r="AD81" i="15"/>
  <c r="AC353" i="15"/>
  <c r="AB12" i="16" s="1"/>
  <c r="BF15" i="7"/>
  <c r="BF41" i="7" s="1"/>
  <c r="BD33" i="7"/>
  <c r="AV37" i="7"/>
  <c r="AV40" i="7" s="1"/>
  <c r="AE40" i="7"/>
  <c r="AK7" i="9"/>
  <c r="BE26" i="7"/>
  <c r="BA54" i="7"/>
  <c r="BC54" i="7" s="1"/>
  <c r="BA38" i="7"/>
  <c r="K52" i="7"/>
  <c r="K56" i="7" s="1"/>
  <c r="G58" i="7"/>
  <c r="BA39" i="7"/>
  <c r="I57" i="7"/>
  <c r="F57" i="7"/>
  <c r="H57" i="7"/>
  <c r="H58" i="7" s="1"/>
  <c r="J53" i="7"/>
  <c r="AS37" i="7"/>
  <c r="BG15" i="7"/>
  <c r="AT43" i="7"/>
  <c r="AR43" i="7" s="1"/>
  <c r="J56" i="7"/>
  <c r="BE27" i="7"/>
  <c r="AK6" i="9" s="1"/>
  <c r="BE20" i="7"/>
  <c r="F62" i="13"/>
  <c r="H54" i="13"/>
  <c r="I56" i="13"/>
  <c r="L42" i="7" s="1"/>
  <c r="L49" i="7" s="1"/>
  <c r="L50" i="7" s="1"/>
  <c r="BF8" i="7"/>
  <c r="BF17" i="7" s="1"/>
  <c r="AW37" i="7" l="1"/>
  <c r="R11" i="14"/>
  <c r="S8" i="14" s="1"/>
  <c r="S9" i="14" s="1"/>
  <c r="K345" i="15"/>
  <c r="J22" i="16" s="1"/>
  <c r="Z165" i="15"/>
  <c r="AB29" i="15"/>
  <c r="AA92" i="15"/>
  <c r="Z150" i="15"/>
  <c r="Z155" i="15" s="1"/>
  <c r="Y9" i="16" s="1"/>
  <c r="Z104" i="15"/>
  <c r="Y4" i="16" s="1"/>
  <c r="X113" i="15"/>
  <c r="X111" i="15"/>
  <c r="AB112" i="15"/>
  <c r="AC93" i="15"/>
  <c r="P326" i="15"/>
  <c r="P337" i="15" s="1"/>
  <c r="R161" i="15"/>
  <c r="S159" i="15"/>
  <c r="AD144" i="15"/>
  <c r="AE144" i="15"/>
  <c r="AE81" i="15"/>
  <c r="AD353" i="15"/>
  <c r="AC12" i="16" s="1"/>
  <c r="AE353" i="15"/>
  <c r="AD12" i="16" s="1"/>
  <c r="AD108" i="15"/>
  <c r="AD90" i="15"/>
  <c r="AD109" i="15"/>
  <c r="H60" i="7"/>
  <c r="H61" i="7"/>
  <c r="BE40" i="7"/>
  <c r="BE32" i="7"/>
  <c r="G60" i="7"/>
  <c r="G61" i="7"/>
  <c r="AY37" i="7"/>
  <c r="AY40" i="7" s="1"/>
  <c r="AW40" i="7"/>
  <c r="AT37" i="7"/>
  <c r="AT40" i="7" s="1"/>
  <c r="AS40" i="7"/>
  <c r="BE35" i="7"/>
  <c r="AL7" i="9"/>
  <c r="BF26" i="7"/>
  <c r="BG41" i="7"/>
  <c r="K53" i="7"/>
  <c r="BA64" i="7"/>
  <c r="L52" i="7"/>
  <c r="AK5" i="9"/>
  <c r="F58" i="7"/>
  <c r="I58" i="7"/>
  <c r="AV43" i="7"/>
  <c r="K57" i="7"/>
  <c r="K58" i="7" s="1"/>
  <c r="J57" i="7"/>
  <c r="J58" i="7" s="1"/>
  <c r="BF27" i="7"/>
  <c r="AL6" i="9" s="1"/>
  <c r="BF20" i="7"/>
  <c r="I54" i="13"/>
  <c r="I61" i="13" s="1"/>
  <c r="I62" i="13" s="1"/>
  <c r="I67" i="13" s="1"/>
  <c r="J56" i="13"/>
  <c r="M42" i="7" s="1"/>
  <c r="M49" i="7" s="1"/>
  <c r="M50" i="7" s="1"/>
  <c r="H61" i="13"/>
  <c r="F67" i="13"/>
  <c r="BG8" i="7"/>
  <c r="BG17" i="7" s="1"/>
  <c r="K16" i="16" l="1"/>
  <c r="S10" i="14"/>
  <c r="AA165" i="15"/>
  <c r="AA150" i="15"/>
  <c r="AA155" i="15" s="1"/>
  <c r="Z9" i="16" s="1"/>
  <c r="AA104" i="15"/>
  <c r="Z4" i="16" s="1"/>
  <c r="AC29" i="15"/>
  <c r="AB92" i="15"/>
  <c r="Y113" i="15"/>
  <c r="Y111" i="15"/>
  <c r="AD93" i="15"/>
  <c r="AC112" i="15"/>
  <c r="Q326" i="15"/>
  <c r="R326" i="15" s="1"/>
  <c r="R337" i="15" s="1"/>
  <c r="Q337" i="15"/>
  <c r="S161" i="15"/>
  <c r="T159" i="15"/>
  <c r="AE108" i="15"/>
  <c r="AE109" i="15"/>
  <c r="AE90" i="15"/>
  <c r="AZ37" i="7"/>
  <c r="BB37" i="7" s="1"/>
  <c r="BB40" i="7" s="1"/>
  <c r="BF40" i="7"/>
  <c r="J60" i="7"/>
  <c r="J61" i="7"/>
  <c r="K60" i="7"/>
  <c r="K61" i="7"/>
  <c r="BE33" i="7"/>
  <c r="BF32" i="7"/>
  <c r="BF33" i="7" s="1"/>
  <c r="I60" i="7"/>
  <c r="I61" i="7"/>
  <c r="F61" i="7"/>
  <c r="F66" i="7" s="1"/>
  <c r="G66" i="7" s="1"/>
  <c r="H66" i="7" s="1"/>
  <c r="F60" i="7"/>
  <c r="BF35" i="7"/>
  <c r="AM7" i="9"/>
  <c r="BG26" i="7"/>
  <c r="L53" i="7"/>
  <c r="BC64" i="7"/>
  <c r="L56" i="7"/>
  <c r="L57" i="7" s="1"/>
  <c r="L58" i="7" s="1"/>
  <c r="BD54" i="7"/>
  <c r="AL5" i="9"/>
  <c r="AW43" i="7"/>
  <c r="AY43" i="7" s="1"/>
  <c r="AU37" i="7"/>
  <c r="AU40" i="7" s="1"/>
  <c r="AR37" i="7"/>
  <c r="AR40" i="7" s="1"/>
  <c r="M52" i="7"/>
  <c r="BG27" i="7"/>
  <c r="AM6" i="9" s="1"/>
  <c r="BG20" i="7"/>
  <c r="F68" i="13"/>
  <c r="G68" i="13" s="1"/>
  <c r="H62" i="13"/>
  <c r="K56" i="13"/>
  <c r="N42" i="7" s="1"/>
  <c r="N49" i="7" s="1"/>
  <c r="N50" i="7" s="1"/>
  <c r="J54" i="13"/>
  <c r="S11" i="14" l="1"/>
  <c r="T8" i="14" s="1"/>
  <c r="L345" i="15"/>
  <c r="K22" i="16" s="1"/>
  <c r="AB165" i="15"/>
  <c r="AB150" i="15"/>
  <c r="AB155" i="15" s="1"/>
  <c r="AA9" i="16" s="1"/>
  <c r="AB104" i="15"/>
  <c r="AA4" i="16" s="1"/>
  <c r="AC92" i="15"/>
  <c r="AD29" i="15"/>
  <c r="Z111" i="15"/>
  <c r="AE93" i="15"/>
  <c r="AD112" i="15"/>
  <c r="Z113" i="15"/>
  <c r="S326" i="15"/>
  <c r="S337" i="15" s="1"/>
  <c r="T161" i="15"/>
  <c r="U159" i="15"/>
  <c r="AZ40" i="7"/>
  <c r="AX37" i="7"/>
  <c r="AX40" i="7" s="1"/>
  <c r="BG40" i="7"/>
  <c r="L61" i="7"/>
  <c r="L60" i="7"/>
  <c r="BG32" i="7"/>
  <c r="BG33" i="7" s="1"/>
  <c r="BG35" i="7"/>
  <c r="M53" i="7"/>
  <c r="I66" i="7"/>
  <c r="J66" i="7" s="1"/>
  <c r="K66" i="7" s="1"/>
  <c r="BD64" i="7"/>
  <c r="N52" i="7"/>
  <c r="AM5" i="9"/>
  <c r="AZ43" i="7"/>
  <c r="BB43" i="7" s="1"/>
  <c r="AU43" i="7"/>
  <c r="BC37" i="7"/>
  <c r="BC40" i="7" s="1"/>
  <c r="M56" i="7"/>
  <c r="J61" i="13"/>
  <c r="H67" i="13"/>
  <c r="H68" i="13" s="1"/>
  <c r="I68" i="13" s="1"/>
  <c r="K54" i="13"/>
  <c r="K61" i="13" s="1"/>
  <c r="K62" i="13" s="1"/>
  <c r="K67" i="13" s="1"/>
  <c r="L56" i="13"/>
  <c r="O42" i="7" s="1"/>
  <c r="O49" i="7" s="1"/>
  <c r="O50" i="7" s="1"/>
  <c r="T9" i="14" l="1"/>
  <c r="AC165" i="15"/>
  <c r="AD92" i="15"/>
  <c r="AE29" i="15"/>
  <c r="AE92" i="15" s="1"/>
  <c r="AE150" i="15" s="1"/>
  <c r="AE155" i="15" s="1"/>
  <c r="AD9" i="16" s="1"/>
  <c r="AC150" i="15"/>
  <c r="AC155" i="15" s="1"/>
  <c r="AB9" i="16" s="1"/>
  <c r="AC104" i="15"/>
  <c r="AB4" i="16" s="1"/>
  <c r="T326" i="15"/>
  <c r="U326" i="15" s="1"/>
  <c r="AA113" i="15"/>
  <c r="AA111" i="15"/>
  <c r="AE112" i="15"/>
  <c r="T337" i="15"/>
  <c r="U161" i="15"/>
  <c r="V159" i="15"/>
  <c r="N53" i="7"/>
  <c r="L66" i="7"/>
  <c r="N56" i="7"/>
  <c r="N57" i="7" s="1"/>
  <c r="N58" i="7" s="1"/>
  <c r="O52" i="7"/>
  <c r="BA37" i="7"/>
  <c r="BA40" i="7" s="1"/>
  <c r="BC43" i="7"/>
  <c r="BA43" i="7" s="1"/>
  <c r="BD43" i="7" s="1"/>
  <c r="BE43" i="7" s="1"/>
  <c r="BF43" i="7" s="1"/>
  <c r="BG43" i="7" s="1"/>
  <c r="AX43" i="7"/>
  <c r="M57" i="7"/>
  <c r="M58" i="7" s="1"/>
  <c r="J62" i="13"/>
  <c r="M56" i="13"/>
  <c r="P42" i="7" s="1"/>
  <c r="P49" i="7" s="1"/>
  <c r="P50" i="7" s="1"/>
  <c r="L54" i="13"/>
  <c r="L61" i="13" s="1"/>
  <c r="L62" i="13" s="1"/>
  <c r="L67" i="13" s="1"/>
  <c r="T10" i="14" l="1"/>
  <c r="L16" i="16"/>
  <c r="AD165" i="15"/>
  <c r="AE104" i="15"/>
  <c r="AD4" i="16" s="1"/>
  <c r="AD150" i="15"/>
  <c r="AD155" i="15" s="1"/>
  <c r="AC9" i="16" s="1"/>
  <c r="AD104" i="15"/>
  <c r="AC4" i="16" s="1"/>
  <c r="AB111" i="15"/>
  <c r="AB113" i="15"/>
  <c r="V326" i="15"/>
  <c r="U337" i="15"/>
  <c r="V161" i="15"/>
  <c r="W159" i="15"/>
  <c r="N61" i="7"/>
  <c r="N60" i="7"/>
  <c r="M61" i="7"/>
  <c r="M66" i="7" s="1"/>
  <c r="M60" i="7"/>
  <c r="O53" i="7"/>
  <c r="O56" i="7"/>
  <c r="O57" i="7" s="1"/>
  <c r="O58" i="7" s="1"/>
  <c r="BE54" i="7"/>
  <c r="P52" i="7"/>
  <c r="BD37" i="7"/>
  <c r="BD40" i="7" s="1"/>
  <c r="N56" i="13"/>
  <c r="Q42" i="7" s="1"/>
  <c r="M54" i="13"/>
  <c r="M61" i="13" s="1"/>
  <c r="M62" i="13" s="1"/>
  <c r="M67" i="13" s="1"/>
  <c r="AM56" i="13"/>
  <c r="J67" i="13"/>
  <c r="M345" i="15" l="1"/>
  <c r="L22" i="16" s="1"/>
  <c r="T11" i="14"/>
  <c r="U8" i="14" s="1"/>
  <c r="U9" i="14" s="1"/>
  <c r="AE165" i="15"/>
  <c r="AC113" i="15"/>
  <c r="AC111" i="15"/>
  <c r="W326" i="15"/>
  <c r="V337" i="15"/>
  <c r="W161" i="15"/>
  <c r="X159" i="15"/>
  <c r="E42" i="7"/>
  <c r="E49" i="7" s="1"/>
  <c r="E50" i="7" s="1"/>
  <c r="Q49" i="7"/>
  <c r="Q50" i="7" s="1"/>
  <c r="Q52" i="7" s="1"/>
  <c r="O60" i="7"/>
  <c r="O61" i="7"/>
  <c r="P53" i="7"/>
  <c r="N66" i="7"/>
  <c r="P56" i="7"/>
  <c r="BE64" i="7"/>
  <c r="J68" i="13"/>
  <c r="K68" i="13" s="1"/>
  <c r="L68" i="13" s="1"/>
  <c r="M68" i="13" s="1"/>
  <c r="N54" i="13"/>
  <c r="O56" i="13"/>
  <c r="S42" i="7" s="1"/>
  <c r="S49" i="7" s="1"/>
  <c r="S50" i="7" s="1"/>
  <c r="U10" i="14" l="1"/>
  <c r="M16" i="16"/>
  <c r="AD111" i="15"/>
  <c r="AD113" i="15"/>
  <c r="X326" i="15"/>
  <c r="W337" i="15"/>
  <c r="X161" i="15"/>
  <c r="Y159" i="15"/>
  <c r="Q53" i="7"/>
  <c r="O66" i="7"/>
  <c r="P57" i="7"/>
  <c r="P58" i="7" s="1"/>
  <c r="BF54" i="7"/>
  <c r="E52" i="7"/>
  <c r="E56" i="7" s="1"/>
  <c r="Q56" i="7"/>
  <c r="S52" i="7"/>
  <c r="O54" i="13"/>
  <c r="P56" i="13"/>
  <c r="T42" i="7" s="1"/>
  <c r="N61" i="13"/>
  <c r="AM54" i="13"/>
  <c r="U11" i="14" l="1"/>
  <c r="V8" i="14" s="1"/>
  <c r="V9" i="14" s="1"/>
  <c r="N345" i="15"/>
  <c r="M22" i="16" s="1"/>
  <c r="AE111" i="15"/>
  <c r="AE113" i="15"/>
  <c r="Y326" i="15"/>
  <c r="X337" i="15"/>
  <c r="Y161" i="15"/>
  <c r="Z159" i="15"/>
  <c r="T49" i="7"/>
  <c r="T50" i="7" s="1"/>
  <c r="T52" i="7" s="1"/>
  <c r="T56" i="7" s="1"/>
  <c r="P60" i="7"/>
  <c r="P61" i="7"/>
  <c r="P66" i="7" s="1"/>
  <c r="S53" i="7"/>
  <c r="BF64" i="7"/>
  <c r="E53" i="7"/>
  <c r="AC4" i="9"/>
  <c r="Q57" i="7"/>
  <c r="Q58" i="7" s="1"/>
  <c r="S56" i="7"/>
  <c r="P54" i="13"/>
  <c r="P61" i="13" s="1"/>
  <c r="P62" i="13" s="1"/>
  <c r="P67" i="13" s="1"/>
  <c r="Q56" i="13"/>
  <c r="U42" i="7" s="1"/>
  <c r="N62" i="13"/>
  <c r="AM61" i="13"/>
  <c r="O61" i="13"/>
  <c r="V10" i="14" l="1"/>
  <c r="N16" i="16"/>
  <c r="Z326" i="15"/>
  <c r="Y337" i="15"/>
  <c r="Z161" i="15"/>
  <c r="AA159" i="15"/>
  <c r="U49" i="7"/>
  <c r="U50" i="7" s="1"/>
  <c r="U52" i="7" s="1"/>
  <c r="T53" i="7"/>
  <c r="Q60" i="7"/>
  <c r="Q61" i="7"/>
  <c r="Q66" i="7" s="1"/>
  <c r="BG54" i="7"/>
  <c r="T57" i="7"/>
  <c r="T58" i="7" s="1"/>
  <c r="S57" i="7"/>
  <c r="S58" i="7" s="1"/>
  <c r="E57" i="7"/>
  <c r="E58" i="7" s="1"/>
  <c r="O62" i="13"/>
  <c r="Q54" i="13"/>
  <c r="Q61" i="13" s="1"/>
  <c r="Q62" i="13" s="1"/>
  <c r="Q67" i="13" s="1"/>
  <c r="R56" i="13"/>
  <c r="V42" i="7" s="1"/>
  <c r="N67" i="13"/>
  <c r="N68" i="13" s="1"/>
  <c r="AM62" i="13"/>
  <c r="V11" i="14" l="1"/>
  <c r="W8" i="14" s="1"/>
  <c r="O345" i="15"/>
  <c r="N22" i="16" s="1"/>
  <c r="AA326" i="15"/>
  <c r="Z337" i="15"/>
  <c r="AA161" i="15"/>
  <c r="AB159" i="15"/>
  <c r="U56" i="7"/>
  <c r="U57" i="7" s="1"/>
  <c r="U58" i="7" s="1"/>
  <c r="U53" i="7"/>
  <c r="V49" i="7"/>
  <c r="V50" i="7" s="1"/>
  <c r="V52" i="7" s="1"/>
  <c r="S60" i="7"/>
  <c r="S61" i="7"/>
  <c r="S66" i="7" s="1"/>
  <c r="T61" i="7"/>
  <c r="T60" i="7"/>
  <c r="E61" i="7"/>
  <c r="E66" i="7" s="1"/>
  <c r="E60" i="7"/>
  <c r="BG64" i="7"/>
  <c r="S56" i="13"/>
  <c r="R54" i="13"/>
  <c r="O67" i="13"/>
  <c r="AM67" i="13"/>
  <c r="W9" i="14" l="1"/>
  <c r="AB326" i="15"/>
  <c r="AA337" i="15"/>
  <c r="AB161" i="15"/>
  <c r="AC159" i="15"/>
  <c r="V53" i="7"/>
  <c r="V56" i="7"/>
  <c r="V57" i="7" s="1"/>
  <c r="V58" i="7" s="1"/>
  <c r="U61" i="7"/>
  <c r="U60" i="7"/>
  <c r="T66" i="7"/>
  <c r="W42" i="7"/>
  <c r="T56" i="13"/>
  <c r="X42" i="7" s="1"/>
  <c r="AM68" i="13"/>
  <c r="O68" i="13"/>
  <c r="P68" i="13" s="1"/>
  <c r="Q68" i="13" s="1"/>
  <c r="R61" i="13"/>
  <c r="S54" i="13"/>
  <c r="S61" i="13" s="1"/>
  <c r="S62" i="13" s="1"/>
  <c r="S67" i="13" s="1"/>
  <c r="O16" i="16" l="1"/>
  <c r="W10" i="14"/>
  <c r="AC326" i="15"/>
  <c r="AB337" i="15"/>
  <c r="AC161" i="15"/>
  <c r="AD159" i="15"/>
  <c r="W49" i="7"/>
  <c r="W50" i="7" s="1"/>
  <c r="W52" i="7" s="1"/>
  <c r="X49" i="7"/>
  <c r="X50" i="7" s="1"/>
  <c r="X52" i="7" s="1"/>
  <c r="X56" i="7" s="1"/>
  <c r="V61" i="7"/>
  <c r="V60" i="7"/>
  <c r="U66" i="7"/>
  <c r="T54" i="13"/>
  <c r="T61" i="13" s="1"/>
  <c r="T62" i="13" s="1"/>
  <c r="T67" i="13" s="1"/>
  <c r="U56" i="13"/>
  <c r="Y42" i="7" s="1"/>
  <c r="R62" i="13"/>
  <c r="P345" i="15" l="1"/>
  <c r="O22" i="16" s="1"/>
  <c r="W11" i="14"/>
  <c r="X8" i="14" s="1"/>
  <c r="AD326" i="15"/>
  <c r="AC337" i="15"/>
  <c r="AD161" i="15"/>
  <c r="AE159" i="15"/>
  <c r="AE132" i="15"/>
  <c r="W56" i="7"/>
  <c r="W57" i="7" s="1"/>
  <c r="W58" i="7" s="1"/>
  <c r="W53" i="7"/>
  <c r="X53" i="7" s="1"/>
  <c r="Y49" i="7"/>
  <c r="Y50" i="7" s="1"/>
  <c r="Y52" i="7" s="1"/>
  <c r="V66" i="7"/>
  <c r="X57" i="7"/>
  <c r="X58" i="7" s="1"/>
  <c r="V56" i="13"/>
  <c r="Z42" i="7" s="1"/>
  <c r="U54" i="13"/>
  <c r="R67" i="13"/>
  <c r="X9" i="14" l="1"/>
  <c r="AE326" i="15"/>
  <c r="AE337" i="15" s="1"/>
  <c r="AD337" i="15"/>
  <c r="AE161" i="15"/>
  <c r="Y56" i="7"/>
  <c r="Y57" i="7" s="1"/>
  <c r="Y58" i="7" s="1"/>
  <c r="Y53" i="7"/>
  <c r="Z49" i="7"/>
  <c r="Z50" i="7" s="1"/>
  <c r="Z52" i="7" s="1"/>
  <c r="X60" i="7"/>
  <c r="X61" i="7"/>
  <c r="W60" i="7"/>
  <c r="W61" i="7"/>
  <c r="W66" i="7" s="1"/>
  <c r="R68" i="13"/>
  <c r="S68" i="13" s="1"/>
  <c r="T68" i="13" s="1"/>
  <c r="U61" i="13"/>
  <c r="V54" i="13"/>
  <c r="V61" i="13" s="1"/>
  <c r="V62" i="13" s="1"/>
  <c r="V67" i="13" s="1"/>
  <c r="W56" i="13"/>
  <c r="AA42" i="7" s="1"/>
  <c r="P16" i="16" l="1"/>
  <c r="X10" i="14"/>
  <c r="Z53" i="7"/>
  <c r="Z56" i="7"/>
  <c r="Z57" i="7" s="1"/>
  <c r="Z58" i="7" s="1"/>
  <c r="AA49" i="7"/>
  <c r="AA50" i="7" s="1"/>
  <c r="AA52" i="7" s="1"/>
  <c r="Y60" i="7"/>
  <c r="Y61" i="7"/>
  <c r="X66" i="7"/>
  <c r="W54" i="13"/>
  <c r="W61" i="13" s="1"/>
  <c r="W62" i="13" s="1"/>
  <c r="W67" i="13" s="1"/>
  <c r="X56" i="13"/>
  <c r="AB42" i="7" s="1"/>
  <c r="U62" i="13"/>
  <c r="Q345" i="15" l="1"/>
  <c r="P22" i="16" s="1"/>
  <c r="X11" i="14"/>
  <c r="Y8" i="14" s="1"/>
  <c r="AA56" i="7"/>
  <c r="AA57" i="7" s="1"/>
  <c r="AA58" i="7" s="1"/>
  <c r="AA53" i="7"/>
  <c r="AB49" i="7"/>
  <c r="AB50" i="7" s="1"/>
  <c r="AB52" i="7" s="1"/>
  <c r="Z60" i="7"/>
  <c r="Z61" i="7"/>
  <c r="Y66" i="7"/>
  <c r="U67" i="13"/>
  <c r="X54" i="13"/>
  <c r="X61" i="13" s="1"/>
  <c r="X62" i="13" s="1"/>
  <c r="X67" i="13" s="1"/>
  <c r="Y56" i="13"/>
  <c r="AC42" i="7" s="1"/>
  <c r="Y9" i="14" l="1"/>
  <c r="AB56" i="7"/>
  <c r="AB53" i="7"/>
  <c r="AC49" i="7"/>
  <c r="AC50" i="7" s="1"/>
  <c r="AC52" i="7" s="1"/>
  <c r="AA60" i="7"/>
  <c r="AA61" i="7"/>
  <c r="Z66" i="7"/>
  <c r="AB57" i="7"/>
  <c r="AB58" i="7" s="1"/>
  <c r="U68" i="13"/>
  <c r="Y54" i="13"/>
  <c r="Y61" i="13" s="1"/>
  <c r="Y62" i="13" s="1"/>
  <c r="Y67" i="13" s="1"/>
  <c r="Z56" i="13"/>
  <c r="AD42" i="7" s="1"/>
  <c r="AD49" i="7" s="1"/>
  <c r="AD50" i="7" s="1"/>
  <c r="Q16" i="16" l="1"/>
  <c r="Y10" i="14"/>
  <c r="AC53" i="7"/>
  <c r="AC56" i="7"/>
  <c r="AB61" i="7"/>
  <c r="AB60" i="7"/>
  <c r="AA66" i="7"/>
  <c r="AC57" i="7"/>
  <c r="AC58" i="7" s="1"/>
  <c r="V68" i="13"/>
  <c r="W68" i="13" s="1"/>
  <c r="X68" i="13" s="1"/>
  <c r="Y68" i="13" s="1"/>
  <c r="AD52" i="7"/>
  <c r="R42" i="7"/>
  <c r="Z54" i="13"/>
  <c r="AA56" i="13"/>
  <c r="AF42" i="7" s="1"/>
  <c r="AF49" i="7" s="1"/>
  <c r="AF50" i="7" s="1"/>
  <c r="AN56" i="13"/>
  <c r="R345" i="15" l="1"/>
  <c r="Q22" i="16" s="1"/>
  <c r="Y11" i="14"/>
  <c r="Z8" i="14" s="1"/>
  <c r="AD53" i="7"/>
  <c r="R49" i="7"/>
  <c r="R50" i="7" s="1"/>
  <c r="R52" i="7" s="1"/>
  <c r="AC61" i="7"/>
  <c r="AC60" i="7"/>
  <c r="AB66" i="7"/>
  <c r="AD56" i="7"/>
  <c r="AF52" i="7"/>
  <c r="AF53" i="7" s="1"/>
  <c r="AA54" i="13"/>
  <c r="AB56" i="13"/>
  <c r="AG42" i="7" s="1"/>
  <c r="Z61" i="13"/>
  <c r="AN54" i="13"/>
  <c r="Z9" i="14" l="1"/>
  <c r="AG49" i="7"/>
  <c r="AG50" i="7" s="1"/>
  <c r="AG52" i="7" s="1"/>
  <c r="R56" i="7"/>
  <c r="R57" i="7" s="1"/>
  <c r="R58" i="7" s="1"/>
  <c r="AD4" i="9"/>
  <c r="R53" i="7"/>
  <c r="AC66" i="7"/>
  <c r="AD57" i="7"/>
  <c r="AD58" i="7" s="1"/>
  <c r="AF56" i="7"/>
  <c r="Z62" i="13"/>
  <c r="AN61" i="13"/>
  <c r="AC56" i="13"/>
  <c r="AH42" i="7" s="1"/>
  <c r="AB54" i="13"/>
  <c r="AB61" i="13" s="1"/>
  <c r="AB62" i="13" s="1"/>
  <c r="AB67" i="13" s="1"/>
  <c r="AA61" i="13"/>
  <c r="R16" i="16" l="1"/>
  <c r="Z10" i="14"/>
  <c r="AG56" i="7"/>
  <c r="AG53" i="7"/>
  <c r="AH49" i="7"/>
  <c r="AH50" i="7" s="1"/>
  <c r="AH52" i="7" s="1"/>
  <c r="R60" i="7"/>
  <c r="R61" i="7"/>
  <c r="R66" i="7" s="1"/>
  <c r="AD61" i="7"/>
  <c r="AD66" i="7" s="1"/>
  <c r="AD60" i="7"/>
  <c r="AF57" i="7"/>
  <c r="AF58" i="7" s="1"/>
  <c r="AG57" i="7"/>
  <c r="AG58" i="7" s="1"/>
  <c r="AD56" i="13"/>
  <c r="AI42" i="7" s="1"/>
  <c r="AC54" i="13"/>
  <c r="AA62" i="13"/>
  <c r="Z67" i="13"/>
  <c r="AN62" i="13"/>
  <c r="S345" i="15" l="1"/>
  <c r="R22" i="16" s="1"/>
  <c r="Z11" i="14"/>
  <c r="AA8" i="14" s="1"/>
  <c r="AH53" i="7"/>
  <c r="AH56" i="7"/>
  <c r="AH57" i="7" s="1"/>
  <c r="AH58" i="7" s="1"/>
  <c r="AI49" i="7"/>
  <c r="AI50" i="7" s="1"/>
  <c r="AI52" i="7" s="1"/>
  <c r="AG60" i="7"/>
  <c r="AG61" i="7"/>
  <c r="AF60" i="7"/>
  <c r="AF61" i="7"/>
  <c r="AF66" i="7" s="1"/>
  <c r="AN67" i="13"/>
  <c r="Z68" i="13"/>
  <c r="AC61" i="13"/>
  <c r="AA67" i="13"/>
  <c r="AD54" i="13"/>
  <c r="AE56" i="13"/>
  <c r="AJ42" i="7" s="1"/>
  <c r="AA9" i="14" l="1"/>
  <c r="AI53" i="7"/>
  <c r="AI56" i="7"/>
  <c r="AI57" i="7" s="1"/>
  <c r="AI58" i="7" s="1"/>
  <c r="AJ49" i="7"/>
  <c r="AJ50" i="7" s="1"/>
  <c r="AJ52" i="7" s="1"/>
  <c r="AH60" i="7"/>
  <c r="AH61" i="7"/>
  <c r="AG66" i="7"/>
  <c r="AE54" i="13"/>
  <c r="AE61" i="13" s="1"/>
  <c r="AE62" i="13" s="1"/>
  <c r="AE67" i="13" s="1"/>
  <c r="AF56" i="13"/>
  <c r="AK42" i="7" s="1"/>
  <c r="AD61" i="13"/>
  <c r="AD62" i="13" s="1"/>
  <c r="AD67" i="13" s="1"/>
  <c r="AC62" i="13"/>
  <c r="AN68" i="13"/>
  <c r="AA68" i="13"/>
  <c r="AB68" i="13" s="1"/>
  <c r="S16" i="16" l="1"/>
  <c r="AA10" i="14"/>
  <c r="AJ56" i="7"/>
  <c r="AJ57" i="7" s="1"/>
  <c r="AJ58" i="7" s="1"/>
  <c r="AJ53" i="7"/>
  <c r="AK49" i="7"/>
  <c r="AK50" i="7" s="1"/>
  <c r="AK52" i="7" s="1"/>
  <c r="AI60" i="7"/>
  <c r="AI61" i="7"/>
  <c r="AH66" i="7"/>
  <c r="AC67" i="13"/>
  <c r="AC68" i="13" s="1"/>
  <c r="AD68" i="13" s="1"/>
  <c r="AE68" i="13" s="1"/>
  <c r="AF54" i="13"/>
  <c r="AG56" i="13"/>
  <c r="AL42" i="7" s="1"/>
  <c r="T345" i="15" l="1"/>
  <c r="S22" i="16" s="1"/>
  <c r="AA11" i="14"/>
  <c r="AB8" i="14" s="1"/>
  <c r="AK53" i="7"/>
  <c r="AK56" i="7"/>
  <c r="AL49" i="7"/>
  <c r="AL50" i="7" s="1"/>
  <c r="AL52" i="7" s="1"/>
  <c r="AJ60" i="7"/>
  <c r="AJ61" i="7"/>
  <c r="AI66" i="7"/>
  <c r="AK57" i="7"/>
  <c r="AK58" i="7" s="1"/>
  <c r="AG54" i="13"/>
  <c r="AG61" i="13" s="1"/>
  <c r="AG62" i="13" s="1"/>
  <c r="AG67" i="13" s="1"/>
  <c r="AH56" i="13"/>
  <c r="AM42" i="7" s="1"/>
  <c r="AF61" i="13"/>
  <c r="AQ61" i="13"/>
  <c r="AB9" i="14" l="1"/>
  <c r="AL56" i="7"/>
  <c r="AL57" i="7" s="1"/>
  <c r="AL58" i="7" s="1"/>
  <c r="AL53" i="7"/>
  <c r="AM49" i="7"/>
  <c r="AM50" i="7" s="1"/>
  <c r="AM52" i="7" s="1"/>
  <c r="AK61" i="7"/>
  <c r="AK60" i="7"/>
  <c r="AJ66" i="7"/>
  <c r="AF62" i="13"/>
  <c r="AI56" i="13"/>
  <c r="AN42" i="7" s="1"/>
  <c r="AH54" i="13"/>
  <c r="T16" i="16" l="1"/>
  <c r="AB10" i="14"/>
  <c r="AM56" i="7"/>
  <c r="AM57" i="7" s="1"/>
  <c r="AM58" i="7" s="1"/>
  <c r="AM53" i="7"/>
  <c r="AN49" i="7"/>
  <c r="AN50" i="7" s="1"/>
  <c r="AN52" i="7" s="1"/>
  <c r="AL61" i="7"/>
  <c r="AL60" i="7"/>
  <c r="AK66" i="7"/>
  <c r="AH61" i="13"/>
  <c r="AI54" i="13"/>
  <c r="AI61" i="13" s="1"/>
  <c r="AI62" i="13" s="1"/>
  <c r="AI67" i="13" s="1"/>
  <c r="AJ56" i="13"/>
  <c r="AO42" i="7" s="1"/>
  <c r="AF67" i="13"/>
  <c r="U345" i="15" l="1"/>
  <c r="T22" i="16" s="1"/>
  <c r="AB11" i="14"/>
  <c r="AC8" i="14" s="1"/>
  <c r="AN56" i="7"/>
  <c r="AN57" i="7" s="1"/>
  <c r="AN58" i="7" s="1"/>
  <c r="AN53" i="7"/>
  <c r="AO49" i="7"/>
  <c r="AO50" i="7" s="1"/>
  <c r="AO52" i="7" s="1"/>
  <c r="AM60" i="7"/>
  <c r="AM61" i="7"/>
  <c r="AL66" i="7"/>
  <c r="AF68" i="13"/>
  <c r="AG68" i="13" s="1"/>
  <c r="AJ54" i="13"/>
  <c r="AJ61" i="13" s="1"/>
  <c r="AJ62" i="13" s="1"/>
  <c r="AJ67" i="13" s="1"/>
  <c r="AK56" i="13"/>
  <c r="AP42" i="7" s="1"/>
  <c r="AH62" i="13"/>
  <c r="AC9" i="14" l="1"/>
  <c r="AO56" i="7"/>
  <c r="AO57" i="7" s="1"/>
  <c r="AO58" i="7" s="1"/>
  <c r="AO53" i="7"/>
  <c r="AP49" i="7"/>
  <c r="AP50" i="7" s="1"/>
  <c r="AP52" i="7" s="1"/>
  <c r="AN60" i="7"/>
  <c r="AN61" i="7"/>
  <c r="AM66" i="7"/>
  <c r="AL56" i="13"/>
  <c r="AQ42" i="7" s="1"/>
  <c r="AK54" i="13"/>
  <c r="AK61" i="13" s="1"/>
  <c r="AH67" i="13"/>
  <c r="AH68" i="13" s="1"/>
  <c r="AI68" i="13" s="1"/>
  <c r="AJ68" i="13" s="1"/>
  <c r="AC10" i="14" l="1"/>
  <c r="U16" i="16"/>
  <c r="AP53" i="7"/>
  <c r="AP56" i="7"/>
  <c r="AP57" i="7" s="1"/>
  <c r="AP58" i="7" s="1"/>
  <c r="AE42" i="7"/>
  <c r="AE49" i="7" s="1"/>
  <c r="AE50" i="7" s="1"/>
  <c r="AQ49" i="7"/>
  <c r="AQ50" i="7" s="1"/>
  <c r="AQ52" i="7" s="1"/>
  <c r="AQ53" i="7" s="1"/>
  <c r="AO60" i="7"/>
  <c r="AO61" i="7"/>
  <c r="AN66" i="7"/>
  <c r="AK62" i="13"/>
  <c r="AL54" i="13"/>
  <c r="AO56" i="13"/>
  <c r="V345" i="15" l="1"/>
  <c r="U22" i="16" s="1"/>
  <c r="AC11" i="14"/>
  <c r="AD8" i="14" s="1"/>
  <c r="AS42" i="7"/>
  <c r="AS49" i="7" s="1"/>
  <c r="AS50" i="7" s="1"/>
  <c r="AS52" i="7" s="1"/>
  <c r="AS53" i="7" s="1"/>
  <c r="AP60" i="7"/>
  <c r="AP61" i="7"/>
  <c r="AO66" i="7"/>
  <c r="AQ56" i="7"/>
  <c r="AE52" i="7"/>
  <c r="AE53" i="7" s="1"/>
  <c r="AL61" i="13"/>
  <c r="AO54" i="13"/>
  <c r="AK67" i="13"/>
  <c r="AK68" i="13" s="1"/>
  <c r="AD9" i="14" l="1"/>
  <c r="AV42" i="7"/>
  <c r="AV49" i="7" s="1"/>
  <c r="AV50" i="7" s="1"/>
  <c r="AT42" i="7"/>
  <c r="AW42" i="7"/>
  <c r="AU42" i="7" s="1"/>
  <c r="AT49" i="7"/>
  <c r="AT50" i="7" s="1"/>
  <c r="AT52" i="7" s="1"/>
  <c r="AT56" i="7" s="1"/>
  <c r="AP66" i="7"/>
  <c r="AE4" i="9"/>
  <c r="AQ57" i="7"/>
  <c r="AQ58" i="7" s="1"/>
  <c r="AS56" i="7"/>
  <c r="AE56" i="7"/>
  <c r="AR42" i="7"/>
  <c r="AR49" i="7" s="1"/>
  <c r="AR50" i="7" s="1"/>
  <c r="AL62" i="13"/>
  <c r="AO61" i="13"/>
  <c r="AP61" i="13" s="1"/>
  <c r="AD10" i="14" l="1"/>
  <c r="V16" i="16"/>
  <c r="AQ60" i="7"/>
  <c r="AQ61" i="7"/>
  <c r="AQ66" i="7" s="1"/>
  <c r="AY42" i="7"/>
  <c r="AW49" i="7"/>
  <c r="AW50" i="7" s="1"/>
  <c r="AW52" i="7" s="1"/>
  <c r="AW56" i="7" s="1"/>
  <c r="AW57" i="7" s="1"/>
  <c r="AW58" i="7" s="1"/>
  <c r="AE57" i="7"/>
  <c r="AE58" i="7" s="1"/>
  <c r="AS57" i="7"/>
  <c r="AS58" i="7" s="1"/>
  <c r="AR52" i="7"/>
  <c r="AR53" i="7" s="1"/>
  <c r="AT53" i="7"/>
  <c r="AL67" i="13"/>
  <c r="AO62" i="13"/>
  <c r="W345" i="15" l="1"/>
  <c r="V22" i="16" s="1"/>
  <c r="AD11" i="14"/>
  <c r="AE8" i="14" s="1"/>
  <c r="AS60" i="7"/>
  <c r="AS61" i="7"/>
  <c r="AS66" i="7" s="1"/>
  <c r="AE60" i="7"/>
  <c r="AE61" i="7"/>
  <c r="AE66" i="7" s="1"/>
  <c r="AW60" i="7"/>
  <c r="AW61" i="7"/>
  <c r="AY49" i="7"/>
  <c r="AY50" i="7" s="1"/>
  <c r="AY52" i="7" s="1"/>
  <c r="AY56" i="7" s="1"/>
  <c r="AY58" i="7" s="1"/>
  <c r="AZ42" i="7"/>
  <c r="AX42" i="7" s="1"/>
  <c r="AX49" i="7" s="1"/>
  <c r="AX50" i="7" s="1"/>
  <c r="AT57" i="7"/>
  <c r="AT58" i="7" s="1"/>
  <c r="AO67" i="13"/>
  <c r="AL68" i="13"/>
  <c r="AO68" i="13" s="1"/>
  <c r="AE9" i="14" l="1"/>
  <c r="AY60" i="7"/>
  <c r="AY61" i="7"/>
  <c r="AT61" i="7"/>
  <c r="AT66" i="7" s="1"/>
  <c r="AT60" i="7"/>
  <c r="AZ49" i="7"/>
  <c r="AZ50" i="7" s="1"/>
  <c r="AZ52" i="7" s="1"/>
  <c r="AZ56" i="7" s="1"/>
  <c r="AZ58" i="7" s="1"/>
  <c r="BB42" i="7"/>
  <c r="AF4" i="9"/>
  <c r="W16" i="16" l="1"/>
  <c r="AE10" i="14"/>
  <c r="BB49" i="7"/>
  <c r="BB50" i="7" s="1"/>
  <c r="BB52" i="7" s="1"/>
  <c r="BC42" i="7"/>
  <c r="AZ61" i="7"/>
  <c r="AZ60" i="7"/>
  <c r="X345" i="15" l="1"/>
  <c r="W22" i="16" s="1"/>
  <c r="AE11" i="14"/>
  <c r="AF8" i="14" s="1"/>
  <c r="BC49" i="7"/>
  <c r="BC50" i="7" s="1"/>
  <c r="BC52" i="7" s="1"/>
  <c r="BC56" i="7" s="1"/>
  <c r="BC58" i="7" s="1"/>
  <c r="BA42" i="7"/>
  <c r="BB56" i="7"/>
  <c r="BB58" i="7" s="1"/>
  <c r="AF9" i="14" l="1"/>
  <c r="BC60" i="7"/>
  <c r="BC61" i="7"/>
  <c r="BB61" i="7"/>
  <c r="BB60" i="7"/>
  <c r="BD42" i="7"/>
  <c r="BA49" i="7"/>
  <c r="BA50" i="7" s="1"/>
  <c r="BA52" i="7" s="1"/>
  <c r="AI4" i="9" s="1"/>
  <c r="X16" i="16" l="1"/>
  <c r="AF10" i="14"/>
  <c r="BD49" i="7"/>
  <c r="BD50" i="7" s="1"/>
  <c r="BD52" i="7" s="1"/>
  <c r="BE42" i="7"/>
  <c r="Y345" i="15" l="1"/>
  <c r="X22" i="16" s="1"/>
  <c r="AF11" i="14"/>
  <c r="AG8" i="14" s="1"/>
  <c r="BE49" i="7"/>
  <c r="BE50" i="7" s="1"/>
  <c r="BE52" i="7" s="1"/>
  <c r="BF42" i="7"/>
  <c r="BD56" i="7"/>
  <c r="BD57" i="7" s="1"/>
  <c r="BD58" i="7" s="1"/>
  <c r="AJ4" i="9"/>
  <c r="AR56" i="7"/>
  <c r="AX52" i="7"/>
  <c r="AG9" i="14" l="1"/>
  <c r="BD60" i="7"/>
  <c r="BD61" i="7"/>
  <c r="BF49" i="7"/>
  <c r="BF50" i="7" s="1"/>
  <c r="BF52" i="7" s="1"/>
  <c r="BG42" i="7"/>
  <c r="BG49" i="7" s="1"/>
  <c r="BG50" i="7" s="1"/>
  <c r="BG52" i="7" s="1"/>
  <c r="BE56" i="7"/>
  <c r="AK4" i="9"/>
  <c r="AH4" i="9"/>
  <c r="AX56" i="7"/>
  <c r="AX57" i="7" s="1"/>
  <c r="AR57" i="7"/>
  <c r="AR58" i="7" s="1"/>
  <c r="BA56" i="7"/>
  <c r="BA57" i="7" s="1"/>
  <c r="Y16" i="16" l="1"/>
  <c r="AG10" i="14"/>
  <c r="BE57" i="7"/>
  <c r="BE58" i="7" s="1"/>
  <c r="AL4" i="9"/>
  <c r="BF56" i="7"/>
  <c r="BF57" i="7" s="1"/>
  <c r="BF58" i="7" s="1"/>
  <c r="BG56" i="7"/>
  <c r="BG57" i="7" s="1"/>
  <c r="BG58" i="7" s="1"/>
  <c r="AM4" i="9"/>
  <c r="AR61" i="7"/>
  <c r="AR66" i="7" s="1"/>
  <c r="AR60" i="7"/>
  <c r="AX58" i="7"/>
  <c r="BA58" i="7"/>
  <c r="Z345" i="15" l="1"/>
  <c r="Y22" i="16" s="1"/>
  <c r="AG11" i="14"/>
  <c r="AH8" i="14" s="1"/>
  <c r="BG60" i="7"/>
  <c r="BG61" i="7"/>
  <c r="BF60" i="7"/>
  <c r="BF61" i="7"/>
  <c r="BA61" i="7"/>
  <c r="BA60" i="7"/>
  <c r="AX60" i="7"/>
  <c r="AX61" i="7"/>
  <c r="BE60" i="7"/>
  <c r="BE61" i="7"/>
  <c r="AU41" i="7"/>
  <c r="AV52" i="7"/>
  <c r="AV53" i="7" s="1"/>
  <c r="AH9" i="14" l="1"/>
  <c r="AU49" i="7"/>
  <c r="AU50" i="7" s="1"/>
  <c r="AU52" i="7" s="1"/>
  <c r="AW53" i="7"/>
  <c r="AY53" i="7" s="1"/>
  <c r="AZ53" i="7" s="1"/>
  <c r="BB53" i="7" s="1"/>
  <c r="BC53" i="7" s="1"/>
  <c r="AV56" i="7"/>
  <c r="AV57" i="7" s="1"/>
  <c r="AV58" i="7" s="1"/>
  <c r="Z16" i="16" l="1"/>
  <c r="AH10" i="14"/>
  <c r="AU56" i="7"/>
  <c r="AU57" i="7" s="1"/>
  <c r="AU58" i="7" s="1"/>
  <c r="AU53" i="7"/>
  <c r="AX53" i="7" s="1"/>
  <c r="BA53" i="7" s="1"/>
  <c r="BD53" i="7" s="1"/>
  <c r="BE53" i="7" s="1"/>
  <c r="AG4" i="9"/>
  <c r="AV60" i="7"/>
  <c r="AV61" i="7"/>
  <c r="AV66" i="7" s="1"/>
  <c r="AW66" i="7" s="1"/>
  <c r="AA345" i="15" l="1"/>
  <c r="Z22" i="16" s="1"/>
  <c r="AH11" i="14"/>
  <c r="AI8" i="14" s="1"/>
  <c r="AU60" i="7"/>
  <c r="AU61" i="7"/>
  <c r="AU66" i="7" s="1"/>
  <c r="AX66" i="7" s="1"/>
  <c r="BA66" i="7" s="1"/>
  <c r="BD66" i="7" s="1"/>
  <c r="AY66" i="7"/>
  <c r="BF53" i="7"/>
  <c r="BG53" i="7" s="1"/>
  <c r="AI9" i="14" l="1"/>
  <c r="AZ66" i="7"/>
  <c r="BE66" i="7"/>
  <c r="AA16" i="16" l="1"/>
  <c r="AI10" i="14"/>
  <c r="BF66" i="7"/>
  <c r="BG66" i="7" s="1"/>
  <c r="BB66" i="7"/>
  <c r="AB345" i="15" l="1"/>
  <c r="AA22" i="16" s="1"/>
  <c r="AI11" i="14"/>
  <c r="AJ8" i="14" s="1"/>
  <c r="BC66" i="7"/>
  <c r="AJ9" i="14" l="1"/>
  <c r="K264" i="15"/>
  <c r="E264" i="15"/>
  <c r="D4" i="16" s="1"/>
  <c r="H264" i="15"/>
  <c r="G4" i="16" s="1"/>
  <c r="F264" i="15"/>
  <c r="L264" i="15"/>
  <c r="G264" i="15"/>
  <c r="J264" i="15"/>
  <c r="O264" i="15"/>
  <c r="M264" i="15"/>
  <c r="I264" i="15"/>
  <c r="N264" i="15"/>
  <c r="AB16" i="16" l="1"/>
  <c r="AJ10" i="14"/>
  <c r="J4" i="16"/>
  <c r="M4" i="16"/>
  <c r="I4" i="16"/>
  <c r="K4" i="16"/>
  <c r="H4" i="16"/>
  <c r="L4" i="16"/>
  <c r="E4" i="16"/>
  <c r="F4" i="16"/>
  <c r="N4" i="16"/>
  <c r="AC345" i="15" l="1"/>
  <c r="AB22" i="16" s="1"/>
  <c r="AJ11" i="14"/>
  <c r="E132" i="15"/>
  <c r="F132" i="15"/>
  <c r="AA132" i="15"/>
  <c r="U132" i="15"/>
  <c r="L132" i="15"/>
  <c r="T132" i="15"/>
  <c r="P132" i="15"/>
  <c r="M132" i="15"/>
  <c r="I132" i="15"/>
  <c r="AD132" i="15"/>
  <c r="AC132" i="15"/>
  <c r="J132" i="15"/>
  <c r="N132" i="15"/>
  <c r="O132" i="15"/>
  <c r="V132" i="15"/>
  <c r="S132" i="15"/>
  <c r="Y132" i="15"/>
  <c r="W132" i="15"/>
  <c r="Q132" i="15"/>
  <c r="P5" i="16" s="1"/>
  <c r="Z132" i="15"/>
  <c r="K132" i="15"/>
  <c r="J5" i="16" s="1"/>
  <c r="J6" i="16" s="1"/>
  <c r="R132" i="15"/>
  <c r="G132" i="15"/>
  <c r="AB132" i="15"/>
  <c r="X132" i="15"/>
  <c r="G5" i="16"/>
  <c r="AD5" i="16"/>
  <c r="AD6" i="16" s="1"/>
  <c r="G11" i="16" l="1"/>
  <c r="L5" i="16"/>
  <c r="L6" i="16" s="1"/>
  <c r="U5" i="16"/>
  <c r="U6" i="16" s="1"/>
  <c r="E5" i="16"/>
  <c r="E6" i="16" s="1"/>
  <c r="W5" i="16"/>
  <c r="W11" i="16" s="1"/>
  <c r="K5" i="16"/>
  <c r="K11" i="16" s="1"/>
  <c r="O5" i="16"/>
  <c r="O6" i="16" s="1"/>
  <c r="T5" i="16"/>
  <c r="T11" i="16" s="1"/>
  <c r="R5" i="16"/>
  <c r="R11" i="16" s="1"/>
  <c r="AB5" i="16"/>
  <c r="AB6" i="16" s="1"/>
  <c r="Y5" i="16"/>
  <c r="Y6" i="16" s="1"/>
  <c r="AA5" i="16"/>
  <c r="AA6" i="16" s="1"/>
  <c r="AD11" i="16"/>
  <c r="Z5" i="16"/>
  <c r="Z6" i="16" s="1"/>
  <c r="P6" i="16"/>
  <c r="D5" i="16"/>
  <c r="D6" i="16" s="1"/>
  <c r="M5" i="16"/>
  <c r="M11" i="16" s="1"/>
  <c r="H5" i="16"/>
  <c r="H11" i="16" s="1"/>
  <c r="S5" i="16"/>
  <c r="S11" i="16" s="1"/>
  <c r="V5" i="16"/>
  <c r="V11" i="16" s="1"/>
  <c r="N5" i="16"/>
  <c r="N11" i="16" s="1"/>
  <c r="X5" i="16"/>
  <c r="X6" i="16" s="1"/>
  <c r="AC5" i="16"/>
  <c r="AC11" i="16" s="1"/>
  <c r="I5" i="16"/>
  <c r="I6" i="16" s="1"/>
  <c r="F5" i="16"/>
  <c r="F6" i="16" s="1"/>
  <c r="Q5" i="16"/>
  <c r="Q11" i="16" s="1"/>
  <c r="G6" i="16"/>
  <c r="J11" i="16"/>
  <c r="L11" i="16" l="1"/>
  <c r="U11" i="16"/>
  <c r="K6" i="16"/>
  <c r="E11" i="16"/>
  <c r="AC6" i="16"/>
  <c r="O11" i="16"/>
  <c r="AB11" i="16"/>
  <c r="W6" i="16"/>
  <c r="T6" i="16"/>
  <c r="Y11" i="16"/>
  <c r="R6" i="16"/>
  <c r="S6" i="16"/>
  <c r="I11" i="16"/>
  <c r="Z11" i="16"/>
  <c r="H6" i="16"/>
  <c r="D11" i="16"/>
  <c r="P11" i="16"/>
  <c r="AA11" i="16"/>
  <c r="F11" i="16"/>
  <c r="M6" i="16"/>
  <c r="V6" i="16"/>
  <c r="X11" i="16"/>
  <c r="N6" i="16"/>
  <c r="Q6" i="16"/>
  <c r="I13" i="16"/>
  <c r="F13" i="16"/>
  <c r="D13" i="16"/>
  <c r="E13" i="16"/>
  <c r="G13" i="16"/>
  <c r="G14" i="16" s="1"/>
  <c r="H13" i="16"/>
  <c r="H14" i="16" s="1"/>
  <c r="K169" i="15"/>
  <c r="J170" i="15"/>
  <c r="I170" i="15"/>
  <c r="G170" i="15"/>
  <c r="H170" i="15"/>
  <c r="F170" i="15"/>
  <c r="E170" i="15"/>
  <c r="F14" i="16" l="1"/>
  <c r="F17" i="16" s="1"/>
  <c r="D14" i="16"/>
  <c r="D17" i="16" s="1"/>
  <c r="G17" i="16"/>
  <c r="I14" i="16"/>
  <c r="I17" i="16" s="1"/>
  <c r="H17" i="16"/>
  <c r="E14" i="16"/>
  <c r="E17" i="16" s="1"/>
  <c r="J13" i="16"/>
  <c r="L169" i="15"/>
  <c r="K13" i="16" s="1"/>
  <c r="K170" i="15"/>
  <c r="L170" i="15" l="1"/>
  <c r="K14" i="16"/>
  <c r="K17" i="16" s="1"/>
  <c r="J14" i="16"/>
  <c r="J17" i="16" s="1"/>
  <c r="J18" i="16" s="1"/>
  <c r="J19" i="16" s="1"/>
  <c r="F18" i="16"/>
  <c r="F19" i="16" s="1"/>
  <c r="F21" i="16" s="1"/>
  <c r="D15" i="16"/>
  <c r="E15" i="16" s="1"/>
  <c r="F15" i="16" s="1"/>
  <c r="G15" i="16" s="1"/>
  <c r="H15" i="16" s="1"/>
  <c r="I15" i="16" s="1"/>
  <c r="M169" i="15"/>
  <c r="G18" i="16"/>
  <c r="G19" i="16" s="1"/>
  <c r="H18" i="16"/>
  <c r="H19" i="16" s="1"/>
  <c r="D18" i="16"/>
  <c r="D19" i="16" s="1"/>
  <c r="E18" i="16"/>
  <c r="E19" i="16" s="1"/>
  <c r="J15" i="16" l="1"/>
  <c r="K15" i="16" s="1"/>
  <c r="I18" i="16"/>
  <c r="I19" i="16" s="1"/>
  <c r="I20" i="16" s="1"/>
  <c r="F20" i="16"/>
  <c r="L13" i="16"/>
  <c r="M170" i="15"/>
  <c r="N169" i="15"/>
  <c r="O169" i="15" s="1"/>
  <c r="G20" i="16"/>
  <c r="G21" i="16"/>
  <c r="H20" i="16"/>
  <c r="H21" i="16"/>
  <c r="J20" i="16"/>
  <c r="J21" i="16"/>
  <c r="E21" i="16"/>
  <c r="E20" i="16"/>
  <c r="K18" i="16"/>
  <c r="K19" i="16" s="1"/>
  <c r="D21" i="16"/>
  <c r="D23" i="16" s="1"/>
  <c r="D20" i="16"/>
  <c r="L14" i="16" l="1"/>
  <c r="L17" i="16" s="1"/>
  <c r="L18" i="16" s="1"/>
  <c r="L19" i="16" s="1"/>
  <c r="I21" i="16"/>
  <c r="P169" i="15"/>
  <c r="P170" i="15" s="1"/>
  <c r="N13" i="16"/>
  <c r="O170" i="15"/>
  <c r="N170" i="15"/>
  <c r="M13" i="16"/>
  <c r="E23" i="16"/>
  <c r="F23" i="16" s="1"/>
  <c r="G23" i="16" s="1"/>
  <c r="H23" i="16" s="1"/>
  <c r="O13" i="16"/>
  <c r="K20" i="16"/>
  <c r="K21" i="16"/>
  <c r="L15" i="16" l="1"/>
  <c r="N14" i="16"/>
  <c r="N17" i="16" s="1"/>
  <c r="N18" i="16" s="1"/>
  <c r="N19" i="16" s="1"/>
  <c r="O14" i="16"/>
  <c r="O17" i="16" s="1"/>
  <c r="M14" i="16"/>
  <c r="I23" i="16"/>
  <c r="J23" i="16" s="1"/>
  <c r="K23" i="16" s="1"/>
  <c r="L20" i="16"/>
  <c r="L21" i="16"/>
  <c r="Q169" i="15"/>
  <c r="R169" i="15" s="1"/>
  <c r="M15" i="16" l="1"/>
  <c r="N15" i="16" s="1"/>
  <c r="O15" i="16" s="1"/>
  <c r="M17" i="16"/>
  <c r="M18" i="16" s="1"/>
  <c r="M19" i="16" s="1"/>
  <c r="M20" i="16" s="1"/>
  <c r="L23" i="16"/>
  <c r="R170" i="15"/>
  <c r="Q13" i="16"/>
  <c r="P13" i="16"/>
  <c r="S169" i="15"/>
  <c r="T169" i="15" s="1"/>
  <c r="U169" i="15" s="1"/>
  <c r="Q170" i="15"/>
  <c r="N21" i="16"/>
  <c r="N20" i="16"/>
  <c r="O18" i="16"/>
  <c r="O19" i="16" s="1"/>
  <c r="S13" i="16" l="1"/>
  <c r="S14" i="16" s="1"/>
  <c r="S17" i="16" s="1"/>
  <c r="M21" i="16"/>
  <c r="M23" i="16" s="1"/>
  <c r="N23" i="16" s="1"/>
  <c r="P14" i="16"/>
  <c r="P17" i="16" s="1"/>
  <c r="P18" i="16" s="1"/>
  <c r="P19" i="16" s="1"/>
  <c r="Q14" i="16"/>
  <c r="Q17" i="16" s="1"/>
  <c r="Q18" i="16" s="1"/>
  <c r="Q19" i="16" s="1"/>
  <c r="V169" i="15"/>
  <c r="T170" i="15"/>
  <c r="R13" i="16"/>
  <c r="S170" i="15"/>
  <c r="O20" i="16"/>
  <c r="O21" i="16"/>
  <c r="U170" i="15"/>
  <c r="T13" i="16"/>
  <c r="P15" i="16" l="1"/>
  <c r="Q15" i="16" s="1"/>
  <c r="R14" i="16"/>
  <c r="R17" i="16" s="1"/>
  <c r="R18" i="16" s="1"/>
  <c r="R19" i="16" s="1"/>
  <c r="T14" i="16"/>
  <c r="T17" i="16" s="1"/>
  <c r="O23" i="16"/>
  <c r="W169" i="15"/>
  <c r="X169" i="15" s="1"/>
  <c r="Y169" i="15" s="1"/>
  <c r="Z169" i="15" s="1"/>
  <c r="AA169" i="15" s="1"/>
  <c r="AB169" i="15" s="1"/>
  <c r="AC169" i="15" s="1"/>
  <c r="AD169" i="15" s="1"/>
  <c r="AE169" i="15" s="1"/>
  <c r="Q21" i="16"/>
  <c r="Q20" i="16"/>
  <c r="P21" i="16"/>
  <c r="P20" i="16"/>
  <c r="U13" i="16"/>
  <c r="V170" i="15"/>
  <c r="S18" i="16"/>
  <c r="S19" i="16" s="1"/>
  <c r="V13" i="16" l="1"/>
  <c r="V14" i="16" s="1"/>
  <c r="V17" i="16" s="1"/>
  <c r="W170" i="15"/>
  <c r="R15" i="16"/>
  <c r="S15" i="16" s="1"/>
  <c r="T15" i="16" s="1"/>
  <c r="U14" i="16"/>
  <c r="U17" i="16" s="1"/>
  <c r="P23" i="16"/>
  <c r="Q23" i="16" s="1"/>
  <c r="R20" i="16"/>
  <c r="R21" i="16"/>
  <c r="S21" i="16"/>
  <c r="S20" i="16"/>
  <c r="T18" i="16"/>
  <c r="T19" i="16" s="1"/>
  <c r="X170" i="15"/>
  <c r="W13" i="16"/>
  <c r="U15" i="16" l="1"/>
  <c r="V15" i="16" s="1"/>
  <c r="W14" i="16"/>
  <c r="W17" i="16" s="1"/>
  <c r="R23" i="16"/>
  <c r="S23" i="16" s="1"/>
  <c r="T21" i="16"/>
  <c r="T20" i="16"/>
  <c r="V18" i="16"/>
  <c r="V19" i="16" s="1"/>
  <c r="Y170" i="15"/>
  <c r="X13" i="16"/>
  <c r="U18" i="16"/>
  <c r="U19" i="16" s="1"/>
  <c r="W15" i="16" l="1"/>
  <c r="X14" i="16"/>
  <c r="X17" i="16" s="1"/>
  <c r="T23" i="16"/>
  <c r="V20" i="16"/>
  <c r="V21" i="16"/>
  <c r="U20" i="16"/>
  <c r="U21" i="16"/>
  <c r="W18" i="16"/>
  <c r="W19" i="16" s="1"/>
  <c r="Z170" i="15"/>
  <c r="Y13" i="16"/>
  <c r="X15" i="16" l="1"/>
  <c r="Y14" i="16"/>
  <c r="Y17" i="16" s="1"/>
  <c r="U23" i="16"/>
  <c r="V23" i="16" s="1"/>
  <c r="Z13" i="16"/>
  <c r="AA170" i="15"/>
  <c r="W20" i="16"/>
  <c r="W21" i="16"/>
  <c r="X18" i="16"/>
  <c r="X19" i="16" s="1"/>
  <c r="Y15" i="16" l="1"/>
  <c r="Z14" i="16"/>
  <c r="Z17" i="16" s="1"/>
  <c r="W23" i="16"/>
  <c r="X21" i="16"/>
  <c r="X20" i="16"/>
  <c r="AB170" i="15"/>
  <c r="AA13" i="16"/>
  <c r="Y18" i="16"/>
  <c r="Y19" i="16" s="1"/>
  <c r="AA14" i="16" l="1"/>
  <c r="AA17" i="16" s="1"/>
  <c r="Z15" i="16"/>
  <c r="X23" i="16"/>
  <c r="Y21" i="16"/>
  <c r="Y20" i="16"/>
  <c r="AC170" i="15"/>
  <c r="AB13" i="16"/>
  <c r="Z18" i="16"/>
  <c r="Z19" i="16" s="1"/>
  <c r="AB14" i="16" l="1"/>
  <c r="AB17" i="16" s="1"/>
  <c r="AA15" i="16"/>
  <c r="Y23" i="16"/>
  <c r="AC13" i="16"/>
  <c r="AD170" i="15"/>
  <c r="Z21" i="16"/>
  <c r="Z20" i="16"/>
  <c r="AA18" i="16"/>
  <c r="AA19" i="16" s="1"/>
  <c r="AB15" i="16" l="1"/>
  <c r="AC14" i="16"/>
  <c r="AC17" i="16" s="1"/>
  <c r="Z23" i="16"/>
  <c r="AA21" i="16"/>
  <c r="AA20" i="16"/>
  <c r="AB18" i="16"/>
  <c r="AB19" i="16" s="1"/>
  <c r="AD13" i="16"/>
  <c r="AE170" i="15"/>
  <c r="AC15" i="16" l="1"/>
  <c r="AD14" i="16"/>
  <c r="AD17" i="16" s="1"/>
  <c r="AA23" i="16"/>
  <c r="AB21" i="16"/>
  <c r="AB20" i="16"/>
  <c r="AC18" i="16"/>
  <c r="AC19" i="16" s="1"/>
  <c r="AD15" i="16" l="1"/>
  <c r="AB23" i="16"/>
  <c r="AC20" i="16"/>
  <c r="AC21" i="16"/>
  <c r="AD18" i="16"/>
  <c r="AD19" i="16" s="1"/>
  <c r="AC23" i="16" l="1"/>
  <c r="AD20" i="16"/>
  <c r="AD21" i="16"/>
  <c r="AD23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tc={DC6765B0-3A33-48B0-A5D5-49F2CA51143C}</author>
    <author>tc={00CAADBB-62C4-4F2B-8EC8-5530D4E43575}</author>
    <author>tc={887F6D8C-FF28-4695-9B49-3FE2911D33E6}</author>
    <author>tc={C48D1B8C-C558-4A1F-8605-B11B12212C44}</author>
    <author>tc={D4D2CB53-F692-4771-8315-5B75F6F743D8}</author>
    <author>tc={2960243B-FBE4-4D83-97B0-1B4A5AB781B0}</author>
    <author>tc={C534B7F6-1162-4B63-A8B1-9A8734ACFF4C}</author>
    <author>tc={A7EEB0B6-15EF-4F4D-B3BA-C68718B7D7BD}</author>
    <author>tc={E0E8C0B7-3B08-47B1-9283-2F845C41A397}</author>
    <author>tc={4FAD53FF-E491-4DA2-9751-DC733767FA5A}</author>
    <author>tc={E4297F51-34CE-446F-9FD9-DE78BF793F76}</author>
    <author>tc={CDB65407-ED25-47BF-BF22-ABCE8E40F68C}</author>
    <author>tc={A953258E-0147-4862-A711-801FBEB63A72}</author>
    <author>tc={2226722D-2C8F-4F69-8BBA-FCDDF2F28B63}</author>
    <author>tc={542A9E15-B75D-44C9-9695-E29EA8743AEF}</author>
    <author>tc={A3013870-2868-4D95-8F1F-7CF8A18D9C5B}</author>
    <author>tc={2C65768B-BAE0-4925-998C-D498296F093F}</author>
    <author>tc={150C0B75-A704-4FD5-BF1F-1C8AD94AF19F}</author>
    <author>tc={E27FB91C-8151-4BD5-AF3C-BEF943DDDD85}</author>
    <author>tc={25022E94-C67F-482B-BC49-B2B88EF6BE51}</author>
    <author>tc={8B1DD11E-C66F-4E2B-9CE1-77972E202FB6}</author>
    <author>tc={6E284DEE-E763-49E5-9059-367A41338876}</author>
    <author>tc={59894CF4-D025-4F95-AA0C-0412040117DC}</author>
    <author>tc={AFDA3F01-9BD8-4FC4-862E-655854B67C5B}</author>
    <author>tc={22CDB216-35D8-406B-907A-176B8DEFDC52}</author>
    <author>tc={B8C3FEFC-F388-45DC-9CC1-407D68A9AA64}</author>
    <author>tc={5381BCDB-B20D-468F-B434-CD5F3BEB827F}</author>
    <author>tc={B85B65DA-5F03-4CD4-AFAF-3058CE24D8D1}</author>
    <author>tc={CE790EE9-D4E7-4DB5-8F00-69257BC95F72}</author>
    <author>tc={3C9F660C-23F7-4923-AC17-C198994E869F}</author>
    <author>tc={7C722222-1320-4AE0-9D9D-D22CB1FAA448}</author>
    <author>tc={83B2258E-FD83-4DFB-9710-1ABCD9110489}</author>
    <author>tc={D726A89F-1185-4BBC-A674-7C6911615B47}</author>
    <author>tc={F8D0CBB3-5CFF-4EC4-999A-A1E4CD46BB21}</author>
  </authors>
  <commentList>
    <comment ref="C24" authorId="0" shapeId="0" xr:uid="{DC6765B0-3A33-48B0-A5D5-49F2CA51143C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33" authorId="1" shapeId="0" xr:uid="{00CAADBB-62C4-4F2B-8EC8-5530D4E43575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39" authorId="2" shapeId="0" xr:uid="{887F6D8C-FF28-4695-9B49-3FE2911D33E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48" authorId="3" shapeId="0" xr:uid="{C48D1B8C-C558-4A1F-8605-B11B12212C44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58" authorId="4" shapeId="0" xr:uid="{D4D2CB53-F692-4771-8315-5B75F6F743D8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67" authorId="5" shapeId="0" xr:uid="{2960243B-FBE4-4D83-97B0-1B4A5AB781B0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77" authorId="6" shapeId="0" xr:uid="{C534B7F6-1162-4B63-A8B1-9A8734ACFF4C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T81" authorId="7" shapeId="0" xr:uid="{A7EEB0B6-15EF-4F4D-B3BA-C68718B7D7BD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https://chatgpt.com/c/66ffb579-0b50-8007-ab47-ec189b133a74</t>
      </text>
    </comment>
    <comment ref="T82" authorId="8" shapeId="0" xr:uid="{E0E8C0B7-3B08-47B1-9283-2F845C41A397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https://chatgpt.com/c/66ffb579-0b50-8007-ab47-ec189b133a74</t>
      </text>
    </comment>
    <comment ref="J92" authorId="9" shapeId="0" xr:uid="{4FAD53FF-E491-4DA2-9751-DC733767FA5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stagger this so the customer pays an upfront 10% payment (pre-purchase agreements we intend to set up during the Series A), then 40% upon delivery, and the remaining 50% when the unit is installed and operational. </t>
      </text>
    </comment>
    <comment ref="K92" authorId="10" shapeId="0" xr:uid="{E4297F51-34CE-446F-9FD9-DE78BF793F7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stagger this so the customer pays an upfront 10% payment (pre-purchase agreements we intend to set up during the Series A), then 40% upon delivery, and the remaining 50% when the unit is installed and operational. </t>
      </text>
    </comment>
    <comment ref="C99" authorId="11" shapeId="0" xr:uid="{CDB65407-ED25-47BF-BF22-ABCE8E40F68C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</t>
      </text>
    </comment>
    <comment ref="C101" authorId="12" shapeId="0" xr:uid="{A953258E-0147-4862-A711-801FBEB63A7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
</t>
      </text>
    </comment>
    <comment ref="C103" authorId="13" shapeId="0" xr:uid="{2226722D-2C8F-4F69-8BBA-FCDDF2F28B6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
</t>
      </text>
    </comment>
    <comment ref="H108" authorId="14" shapeId="0" xr:uid="{542A9E15-B75D-44C9-9695-E29EA8743AEF}">
      <text>
        <t>[Threaded comment]
Your version of Excel allows you to read this threaded comment; however, any edits to it will get removed if the file is opened in a newer version of Excel. Learn more: https://go.microsoft.com/fwlink/?linkid=870924
Comment:
    Simplifying means costs get higher as yearly taken &amp; no staggering accounted for</t>
      </text>
    </comment>
    <comment ref="C121" authorId="15" shapeId="0" xr:uid="{A3013870-2868-4D95-8F1F-7CF8A18D9C5B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about we do it as fraction of total payment?</t>
      </text>
    </comment>
    <comment ref="C181" authorId="16" shapeId="0" xr:uid="{2C65768B-BAE0-4925-998C-D498296F093F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191" authorId="17" shapeId="0" xr:uid="{150C0B75-A704-4FD5-BF1F-1C8AD94AF19F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197" authorId="18" shapeId="0" xr:uid="{E27FB91C-8151-4BD5-AF3C-BEF943DDDD85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206" authorId="19" shapeId="0" xr:uid="{25022E94-C67F-482B-BC49-B2B88EF6BE51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216" authorId="20" shapeId="0" xr:uid="{8B1DD11E-C66F-4E2B-9CE1-77972E202FB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225" authorId="21" shapeId="0" xr:uid="{6E284DEE-E763-49E5-9059-367A413388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C235" authorId="22" shapeId="0" xr:uid="{59894CF4-D025-4F95-AA0C-0412040117DC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aufmerksammachen to TEA breaking down below 10 units</t>
      </text>
    </comment>
    <comment ref="J251" authorId="23" shapeId="0" xr:uid="{AFDA3F01-9BD8-4FC4-862E-655854B67C5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stagger this so the customer pays an upfront 10% payment (pre-purchase agreements we intend to set up during the Series A), then 40% upon delivery, and the remaining 50% when the unit is installed and operational. </t>
      </text>
    </comment>
    <comment ref="K251" authorId="24" shapeId="0" xr:uid="{22CDB216-35D8-406B-907A-176B8DEFDC5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stagger this so the customer pays an upfront 10% payment (pre-purchase agreements we intend to set up during the Series A), then 40% upon delivery, and the remaining 50% when the unit is installed and operational. </t>
      </text>
    </comment>
    <comment ref="C259" authorId="25" shapeId="0" xr:uid="{B8C3FEFC-F388-45DC-9CC1-407D68A9AA64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</t>
      </text>
    </comment>
    <comment ref="C261" authorId="26" shapeId="0" xr:uid="{5381BCDB-B20D-468F-B434-CD5F3BEB827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
</t>
      </text>
    </comment>
    <comment ref="C263" authorId="27" shapeId="0" xr:uid="{B85B65DA-5F03-4CD4-AFAF-3058CE24D8D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lump sum payment is recognized either fully upfront (if it covers the delivery and setup of the unit) or partially deferred if it also includes a prepayment for future services
</t>
      </text>
    </comment>
    <comment ref="H268" authorId="28" shapeId="0" xr:uid="{CE790EE9-D4E7-4DB5-8F00-69257BC95F72}">
      <text>
        <t>[Threaded comment]
Your version of Excel allows you to read this threaded comment; however, any edits to it will get removed if the file is opened in a newer version of Excel. Learn more: https://go.microsoft.com/fwlink/?linkid=870924
Comment:
    Simplifying means costs get higher as yearly taken &amp; no staggering accounted for</t>
      </text>
    </comment>
    <comment ref="C285" authorId="29" shapeId="0" xr:uid="{3C9F660C-23F7-4923-AC17-C198994E869F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about we do it as fraction of total payment?</t>
      </text>
    </comment>
    <comment ref="I344" authorId="30" shapeId="0" xr:uid="{7C722222-1320-4AE0-9D9D-D22CB1FAA448}">
      <text>
        <t>[Threaded comment]
Your version of Excel allows you to read this threaded comment; however, any edits to it will get removed if the file is opened in a newer version of Excel. Learn more: https://go.microsoft.com/fwlink/?linkid=870924
Comment:
    Series B</t>
      </text>
    </comment>
    <comment ref="J345" authorId="31" shapeId="0" xr:uid="{83B2258E-FD83-4DFB-9710-1ABCD9110489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Assumes 5% interest - see Bank Loan sheet</t>
      </text>
    </comment>
    <comment ref="H346" authorId="32" shapeId="0" xr:uid="{D726A89F-1185-4BBC-A674-7C6911615B47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Presumably we would get a bank loan to pay for the production hall</t>
      </text>
    </comment>
    <comment ref="A347" authorId="33" shapeId="0" xr:uid="{F8D0CBB3-5CFF-4EC4-999A-A1E4CD46BB21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for farming units rn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tc={996BA654-43EE-4BAB-80A2-CFE859465932}</author>
    <author>tc={0E08607C-8446-4014-ABB4-EDADB32C1B95}</author>
    <author>tc={49BC0F0E-D0DF-4898-8C65-3484B2BB7BA7}</author>
    <author>tc={CDBB57C4-B65F-4020-92DB-477A6EB2B01B}</author>
    <author>tc={8BD56EB9-F21F-48BD-92D0-7AB4FE64188F}</author>
  </authors>
  <commentList>
    <comment ref="B10" authorId="0" shapeId="0" xr:uid="{996BA654-43EE-4BAB-80A2-CFE85946593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Buildings are not part of the Net Income / profit calculation the affect the balance sheet and the cash flow and apear on the profit only via depreciation - already taken out from total expenses </t>
      </text>
    </comment>
    <comment ref="G10" authorId="1" shapeId="0" xr:uid="{0E08607C-8446-4014-ABB4-EDADB32C1B9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Purchase a production hall with bank loan. </t>
      </text>
    </comment>
    <comment ref="H10" authorId="2" shapeId="0" xr:uid="{49BC0F0E-D0DF-4898-8C65-3484B2BB7BA7}">
      <text>
        <t>[Threaded comment]
Your version of Excel allows you to read this threaded comment; however, any edits to it will get removed if the file is opened in a newer version of Excel. Learn more: https://go.microsoft.com/fwlink/?linkid=870924
Comment:
    Setting up new equipment to build labs</t>
      </text>
    </comment>
    <comment ref="D16" authorId="3" shapeId="0" xr:uid="{CDBB57C4-B65F-4020-92DB-477A6EB2B01B}">
      <text>
        <t>[Threaded comment]
Your version of Excel allows you to read this threaded comment; however, any edits to it will get removed if the file is opened in a newer version of Excel. Learn more: https://go.microsoft.com/fwlink/?linkid=870924
Comment:
    CLN interest (2% per year on 750k EUR)
Reply:
    if we want to do the first 3 years monthly then we need to allocate this amount to a month so that it balances with the sum of the year. Who do you pay this interes monthly or yearly?</t>
      </text>
    </comment>
    <comment ref="I16" authorId="4" shapeId="0" xr:uid="{8BD56EB9-F21F-48BD-92D0-7AB4FE64188F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Assumes 5% interest - see Bank Loan sheet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tc={D97398A4-1BE7-4598-B322-B6945CC7688D}</author>
    <author>tc={8A0B324D-DD3E-47B7-8390-4135114BB148}</author>
    <author>Rasmus Bjerngaard</author>
    <author>Suzanne Zamany Andersen</author>
    <author>tc={0981716B-5C7F-4BD0-A6B2-85E898A9EB8D}</author>
    <author>tc={745FBB49-36B3-4896-A525-B300E6A57C73}</author>
    <author>tc={3558C254-F2AC-4604-AAE5-DE64527C9DA6}</author>
    <author>tc={7F4CB8C3-6D2E-43AA-8A5F-418BA7D27689}</author>
    <author>tc={8B8BBF98-60E9-4524-83C9-0DC404F42F7D}</author>
  </authors>
  <commentList>
    <comment ref="K65" authorId="0" shapeId="0" xr:uid="{D97398A4-1BE7-4598-B322-B6945CC7688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Seed round
</t>
      </text>
    </comment>
    <comment ref="AF65" authorId="1" shapeId="0" xr:uid="{8A0B324D-DD3E-47B7-8390-4135114BB14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Series A
</t>
      </text>
    </comment>
    <comment ref="C66" authorId="2" shapeId="0" xr:uid="{957A9117-22F1-4641-961B-460E1A3C79AF}">
      <text>
        <r>
          <rPr>
            <sz val="10"/>
            <color rgb="FF000000"/>
            <rFont val="Tahoma"/>
            <family val="2"/>
          </rPr>
          <t>Breakthrough gave 3,4 mio kr (0,5 mio $) in two tranches. For moving out, reach 1kg per day, build demo unit. Periodisation: Sept-Aug + extra 3 months (15 months total)</t>
        </r>
      </text>
    </comment>
    <comment ref="E66" authorId="3" shapeId="0" xr:uid="{22EF1F90-F2F1-468B-A45F-0CBB3C998CFC}">
      <text>
        <r>
          <rPr>
            <b/>
            <sz val="9"/>
            <color indexed="81"/>
            <rFont val="Tahoma"/>
            <family val="2"/>
          </rPr>
          <t>Suzanne Zamany Andersen:</t>
        </r>
        <r>
          <rPr>
            <sz val="9"/>
            <color indexed="81"/>
            <rFont val="Tahoma"/>
            <family val="2"/>
          </rPr>
          <t xml:space="preserve">
EUOpSTART
</t>
        </r>
      </text>
    </comment>
    <comment ref="F66" authorId="3" shapeId="0" xr:uid="{945EC8A7-AD43-434D-B352-A4D4BB25C4C9}">
      <text>
        <r>
          <rPr>
            <b/>
            <sz val="9"/>
            <color indexed="81"/>
            <rFont val="Tahoma"/>
            <family val="2"/>
          </rPr>
          <t>Suzanne Zamany Andersen:</t>
        </r>
        <r>
          <rPr>
            <sz val="9"/>
            <color indexed="81"/>
            <rFont val="Tahoma"/>
            <family val="2"/>
          </rPr>
          <t xml:space="preserve">
Second tranch of BEF
</t>
        </r>
      </text>
    </comment>
    <comment ref="M66" authorId="4" shapeId="0" xr:uid="{0981716B-5C7F-4BD0-A6B2-85E898A9EB8D}">
      <text>
        <t>[Threaded comment]
Your version of Excel allows you to read this threaded comment; however, any edits to it will get removed if the file is opened in a newer version of Excel. Learn more: https://go.microsoft.com/fwlink/?linkid=870924
Comment:
    EUOpSTART for EuroStars</t>
      </text>
    </comment>
    <comment ref="N66" authorId="5" shapeId="0" xr:uid="{745FBB49-36B3-4896-A525-B300E6A57C73}">
      <text>
        <t>[Threaded comment]
Your version of Excel allows you to read this threaded comment; however, any edits to it will get removed if the file is opened in a newer version of Excel. Learn more: https://go.microsoft.com/fwlink/?linkid=870924
Comment:
    EuroStars</t>
      </text>
    </comment>
    <comment ref="O66" authorId="6" shapeId="0" xr:uid="{3558C254-F2AC-4604-AAE5-DE64527C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GUDP</t>
      </text>
    </comment>
    <comment ref="V66" authorId="7" shapeId="0" xr:uid="{7F4CB8C3-6D2E-43AA-8A5F-418BA7D27689}">
      <text>
        <t>[Threaded comment]
Your version of Excel allows you to read this threaded comment; however, any edits to it will get removed if the file is opened in a newer version of Excel. Learn more: https://go.microsoft.com/fwlink/?linkid=870924
Comment:
    InnoBooster</t>
      </text>
    </comment>
    <comment ref="AH66" authorId="8" shapeId="0" xr:uid="{8B8BBF98-60E9-4524-83C9-0DC404F42F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Grand Solutions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tc={55CF8A4A-4EC2-44EB-8405-8304F355BF80}</author>
    <author>tc={609CBC8A-534B-4AEC-B7D4-C73302DB41D9}</author>
    <author>tc={842735C7-A216-4C75-AF3C-01A0F37E479E}</author>
    <author>tc={C43999D2-B142-4C92-9BCC-1DCD0735D7B5}</author>
    <author>tc={DC0C7496-9189-4043-8C4B-B5E59AB89FFE}</author>
    <author>tc={35F66729-E331-4672-8683-B487C01D9651}</author>
    <author>tc={5CEF3619-50D1-43BC-8507-CC2925AA60AF}</author>
    <author>tc={C91923B6-06AA-4170-90CC-BDFAEA69D009}</author>
    <author>tc={6010B02D-208A-48E1-920E-F652FB7F1B1C}</author>
    <author>tc={1C2DCD36-DFC7-4788-810D-93772A9CDAEB}</author>
    <author>tc={91DAC8C8-793F-4F25-A281-A40308DBE504}</author>
    <author>tc={53C6CE4D-CDC3-4705-A4D3-8558C6CE51E2}</author>
    <author>tc={B8944D3F-7757-4F10-A4D7-840DC915D072}</author>
    <author>tc={732BE596-297C-49E2-B886-47E0CE14AB2C}</author>
    <author>tc={36D2B31B-30C8-4CA7-B192-49292744B042}</author>
    <author>tc={33CD01F5-2B4F-44F1-89FB-ABF4729B1BB4}</author>
    <author>tc={46EE15C4-5446-4E74-ABFF-AA61090DF811}</author>
    <author>tc={BE69C122-6E76-44C1-A341-CF91E67027FA}</author>
    <author>tc={3BAE971C-EBE1-47AC-9055-72BED6BF7966}</author>
    <author>tc={A0B61159-0BB9-46AE-85B6-D9F6A857711B}</author>
    <author>tc={B00EBAA3-92D4-476F-9E27-B661363D7C3E}</author>
    <author>tc={9357E8C1-BB36-4748-B2DE-19DACB1DC36F}</author>
    <author>tc={5B54BAFC-D637-4E3C-80A1-D08F63B53161}</author>
    <author>tc={83BC426D-06C3-4E3D-A448-47697A899E2C}</author>
    <author>tc={42709A1B-B622-488A-897C-FA79BA4ED0E2}</author>
    <author>tc={958EFD65-8302-471F-A30A-58B363CCD519}</author>
    <author>tc={3E09A546-6ABF-4155-A854-2189177CCA61}</author>
    <author>tc={E1D5D6E8-4D8C-43C0-8AE4-F231A4EB3E05}</author>
    <author>tc={76C6E140-83B9-4F95-91CB-19A74B319EC8}</author>
    <author>tc={B4075702-4312-4611-88CD-2F34387000C1}</author>
  </authors>
  <commentList>
    <comment ref="D5" authorId="0" shapeId="0" xr:uid="{55CF8A4A-4EC2-44EB-8405-8304F355BF80}">
      <text>
        <t>[Threaded comment]
Your version of Excel allows you to read this threaded comment; however, any edits to it will get removed if the file is opened in a newer version of Excel. Learn more: https://go.microsoft.com/fwlink/?linkid=870924
Comment:
    Essentially, if we assume a unit is not there from the beginning, how much % of the period is left after it arrives?</t>
      </text>
    </comment>
    <comment ref="AS5" authorId="1" shapeId="0" xr:uid="{609CBC8A-534B-4AEC-B7D4-C73302DB41D9}">
      <text>
        <t>[Threaded comment]
Your version of Excel allows you to read this threaded comment; however, any edits to it will get removed if the file is opened in a newer version of Excel. Learn more: https://go.microsoft.com/fwlink/?linkid=870924
Comment:
    Down at revenue, it says "assume half a unit" but there was only 25% assumed in the formula - further down at COGS it's 50% again - which is right?</t>
      </text>
    </comment>
    <comment ref="E15" authorId="2" shapeId="0" xr:uid="{842735C7-A216-4C75-AF3C-01A0F37E479E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salary for half the year (spinning out July) - end of year 8 full-time, 4 parttime</t>
      </text>
    </comment>
    <comment ref="AS16" authorId="3" shapeId="0" xr:uid="{C43999D2-B142-4C92-9BCC-1DCD0735D7B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Assuming half a unit here, because it won't be in operation from the beginning. </t>
      </text>
    </comment>
    <comment ref="AT16" authorId="4" shapeId="0" xr:uid="{DC0C7496-9189-4043-8C4B-B5E59AB89FFE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1 unit here, as they will be staggered when they become operational.</t>
      </text>
    </comment>
    <comment ref="AX17" authorId="5" shapeId="0" xr:uid="{35F66729-E331-4672-8683-B487C01D965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stagger this so the customer pays an upfront 10% payment (pre-purchase agreements we intend to set up during the Series A), then 40% upon delivery, and the remaining 50% when the unit is installed and operational. </t>
      </text>
    </comment>
    <comment ref="AV21" authorId="6" shapeId="0" xr:uid="{5CEF3619-50D1-43BC-8507-CC2925AA60A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TEA breaks down in the limits of less than 10 total units produced, so the estimation of very few units is based on component cost with a big buffer. </t>
      </text>
    </comment>
    <comment ref="AR23" authorId="7" shapeId="0" xr:uid="{C91923B6-06AA-4170-90CC-BDFAEA69D00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Staggered in the first 2 years, y1 1.5 units operating 
</t>
      </text>
    </comment>
    <comment ref="AU24" authorId="8" shapeId="0" xr:uid="{6010B02D-208A-48E1-920E-F652FB7F1B1C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use of all 3 patents, the royalties on licensing is 3.25% of the total sales of the part relevant for the patents (the COGS). As the COGS at this point accounts for 0.27 $/kgNH3 produced, it will be 3.25% of this</t>
      </text>
    </comment>
    <comment ref="AR39" authorId="9" shapeId="0" xr:uid="{1C2DCD36-DFC7-4788-810D-93772A9CDAEB}">
      <text>
        <t>[Threaded comment]
Your version of Excel allows you to read this threaded comment; however, any edits to it will get removed if the file is opened in a newer version of Excel. Learn more: https://go.microsoft.com/fwlink/?linkid=870924
Comment:
    Material and prototype goes significantly down, because we are not expecting to build a ~700,000 USD demo-unit in 2027 (as opposed to 2025 and 2026)</t>
      </text>
    </comment>
    <comment ref="D42" authorId="10" shapeId="0" xr:uid="{91DAC8C8-793F-4F25-A281-A40308DBE504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as below for costs related to R&amp;D</t>
      </text>
    </comment>
    <comment ref="AU42" authorId="11" shapeId="0" xr:uid="{53C6CE4D-CDC3-4705-A4D3-8558C6CE51E2}">
      <text>
        <t>[Threaded comment]
Your version of Excel allows you to read this threaded comment; however, any edits to it will get removed if the file is opened in a newer version of Excel. Learn more: https://go.microsoft.com/fwlink/?linkid=870924
Comment:
    We buy a production facility and move out from AL, thereby removing rent payments.</t>
      </text>
    </comment>
    <comment ref="D43" authorId="12" shapeId="0" xr:uid="{B8944D3F-7757-4F10-A4D7-840DC915D07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an accounting perspective and later taxes patent costs can be seen as part of R&amp;D budget in most of the countries - I have not implemented it yet</t>
      </text>
    </comment>
    <comment ref="AE46" authorId="13" shapeId="0" xr:uid="{732BE596-297C-49E2-B886-47E0CE14AB2C}">
      <text>
        <t>[Threaded comment]
Your version of Excel allows you to read this threaded comment; however, any edits to it will get removed if the file is opened in a newer version of Excel. Learn more: https://go.microsoft.com/fwlink/?linkid=870924
Comment:
    I've been told that in order to attract good board members, we should expect to pay in this order. Is this true?</t>
      </text>
    </comment>
    <comment ref="AE47" authorId="14" shapeId="0" xr:uid="{36D2B31B-30C8-4CA7-B192-49292744B04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Expect this to be higher than normal, as we intend to close our Series A, and Suzanne will probably need to visit the US a few times. </t>
      </text>
    </comment>
    <comment ref="AV47" authorId="15" shapeId="0" xr:uid="{33CD01F5-2B4F-44F1-89FB-ABF4729B1BB4}">
      <text>
        <t>[Threaded comment]
Your version of Excel allows you to read this threaded comment; however, any edits to it will get removed if the file is opened in a newer version of Excel. Learn more: https://go.microsoft.com/fwlink/?linkid=870924
Comment:
    Closing a series B will require a larger travel budget</t>
      </text>
    </comment>
    <comment ref="AR48" authorId="16" shapeId="0" xr:uid="{46EE15C4-5446-4E74-ABFF-AA61090DF81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intend to buy a production hall in 2027/2028, so the insurance will significantly go up. </t>
      </text>
    </comment>
    <comment ref="E54" authorId="17" shapeId="0" xr:uid="{BE69C122-6E76-44C1-A341-CF91E67027FA}">
      <text>
        <t>[Threaded comment]
Your version of Excel allows you to read this threaded comment; however, any edits to it will get removed if the file is opened in a newer version of Excel. Learn more: https://go.microsoft.com/fwlink/?linkid=870924
Comment:
    CLN interest (2% per year on 750k EUR)
Reply:
    if we want to do the first 3 years monthly then we need to allocate this amount to a month so that it balances with the sum of the year. Who do you pay this interes monthly or yearly?</t>
      </text>
    </comment>
    <comment ref="Q54" authorId="18" shapeId="0" xr:uid="{3BAE971C-EBE1-47AC-9055-72BED6BF796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Assumption to be paid in December</t>
      </text>
    </comment>
    <comment ref="AX54" authorId="19" shapeId="0" xr:uid="{A0B61159-0BB9-46AE-85B6-D9F6A857711B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Assumes 5% interest - see Bank Loan sheet</t>
      </text>
    </comment>
    <comment ref="AZ54" authorId="20" shapeId="0" xr:uid="{B00EBAA3-92D4-476F-9E27-B661363D7C3E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Interest paid in december</t>
      </text>
    </comment>
    <comment ref="D59" authorId="21" shapeId="0" xr:uid="{9357E8C1-BB36-4748-B2DE-19DACB1DC36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Buildings are not part of the Net Income / profit calculation the affect the balance sheet and the cash flow and apear on the profit only via depreciation - already taken out from total expenses </t>
      </text>
    </comment>
    <comment ref="AR59" authorId="22" shapeId="0" xr:uid="{5B54BAFC-D637-4E3C-80A1-D08F63B531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Purchase a production hall with bank loan. </t>
      </text>
    </comment>
    <comment ref="AU59" authorId="23" shapeId="0" xr:uid="{83BC426D-06C3-4E3D-A448-47697A899E2C}">
      <text>
        <t>[Threaded comment]
Your version of Excel allows you to read this threaded comment; however, any edits to it will get removed if the file is opened in a newer version of Excel. Learn more: https://go.microsoft.com/fwlink/?linkid=870924
Comment:
    Setting up new equipment to build labs</t>
      </text>
    </comment>
    <comment ref="AE63" authorId="24" shapeId="0" xr:uid="{42709A1B-B622-488A-897C-FA79BA4ED0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Series A</t>
      </text>
    </comment>
    <comment ref="AU63" authorId="25" shapeId="0" xr:uid="{958EFD65-8302-471F-A30A-58B363CCD519}">
      <text>
        <t>[Threaded comment]
Your version of Excel allows you to read this threaded comment; however, any edits to it will get removed if the file is opened in a newer version of Excel. Learn more: https://go.microsoft.com/fwlink/?linkid=870924
Comment:
    Series B</t>
      </text>
    </comment>
    <comment ref="AX64" authorId="26" shapeId="0" xr:uid="{3E09A546-6ABF-4155-A854-2189177CCA61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Assumes 5% interest - see Bank Loan sheet</t>
      </text>
    </comment>
    <comment ref="AZ64" authorId="27" shapeId="0" xr:uid="{E1D5D6E8-4D8C-43C0-8AE4-F231A4EB3E05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Interest paid in december</t>
      </text>
    </comment>
    <comment ref="AR65" authorId="28" shapeId="0" xr:uid="{76C6E140-83B9-4F95-91CB-19A74B319EC8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Presumably we would get a bank loan to pay for the production hall</t>
      </text>
    </comment>
    <comment ref="M66" authorId="29" shapeId="0" xr:uid="{B4075702-4312-4611-88CD-2F34387000C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matches with what we have in the bank today, so the projections have so far been pretty spot on ☺️</t>
      </text>
    </comment>
  </commentList>
</comments>
</file>

<file path=xl/sharedStrings.xml><?xml version="1.0" encoding="utf-8"?>
<sst xmlns="http://schemas.openxmlformats.org/spreadsheetml/2006/main" count="1327" uniqueCount="353">
  <si>
    <t>Calculated at 2023-12-01 19:28</t>
  </si>
  <si>
    <t>Input to script</t>
  </si>
  <si>
    <t>Scenario 1</t>
  </si>
  <si>
    <t>Scenario 2</t>
  </si>
  <si>
    <t>Scenario 3</t>
  </si>
  <si>
    <t>Scenario 4</t>
  </si>
  <si>
    <t>Scenario 5</t>
  </si>
  <si>
    <t>Scenario 6</t>
  </si>
  <si>
    <t>Scenario 7</t>
  </si>
  <si>
    <t>Scenario 8</t>
  </si>
  <si>
    <t>Scenario 9</t>
  </si>
  <si>
    <t>Scenario 10</t>
  </si>
  <si>
    <t>Scenario 11</t>
  </si>
  <si>
    <t>Scenario 12</t>
  </si>
  <si>
    <t>Scenario 13</t>
  </si>
  <si>
    <t>Scenario 14</t>
  </si>
  <si>
    <t>Daily NH3 production</t>
  </si>
  <si>
    <t>kgNH₃/day</t>
  </si>
  <si>
    <t>Capacity Factor</t>
  </si>
  <si>
    <t>%</t>
  </si>
  <si>
    <t>Electricity price</t>
  </si>
  <si>
    <t>$/kWh</t>
  </si>
  <si>
    <t>Hydrolyzer type</t>
  </si>
  <si>
    <t>[Alkaline; PEM; SOEC]</t>
  </si>
  <si>
    <t>PEM</t>
  </si>
  <si>
    <t>Yearly operations and maintenance cost</t>
  </si>
  <si>
    <t>$/(kW*year)</t>
  </si>
  <si>
    <t>Nitrolyzer balance of plant energy demand as percentage of stack energy demand</t>
  </si>
  <si>
    <t>Installation surplus as percentage of CAPEX</t>
  </si>
  <si>
    <t>Accumulated number of units produced ever</t>
  </si>
  <si>
    <t>pcs</t>
  </si>
  <si>
    <t>Units produced per year</t>
  </si>
  <si>
    <t>Unit lifetime</t>
  </si>
  <si>
    <t>years</t>
  </si>
  <si>
    <t>Nitrolyzer Faradaic Efficiency</t>
  </si>
  <si>
    <t>Discount rate for levelized cost analysis</t>
  </si>
  <si>
    <t>Debt financing cost</t>
  </si>
  <si>
    <t>Sales price of ammonia</t>
  </si>
  <si>
    <t>$/kg</t>
  </si>
  <si>
    <t>Stack learning rate</t>
  </si>
  <si>
    <t>BoP learning rate</t>
  </si>
  <si>
    <t>Carbon price</t>
  </si>
  <si>
    <t>$/tonCO2eq</t>
  </si>
  <si>
    <t>Choose output normalization</t>
  </si>
  <si>
    <t>[per kgNH3; per day; per year; entire lifetime</t>
  </si>
  <si>
    <t>per kgNH3</t>
  </si>
  <si>
    <t>Output from script</t>
  </si>
  <si>
    <t>Total CAPEX</t>
  </si>
  <si>
    <t>$/kgNH3</t>
  </si>
  <si>
    <t>Total OPEX</t>
  </si>
  <si>
    <t>Operations &amp; Maintenance OPEX</t>
  </si>
  <si>
    <t>Installation costs</t>
  </si>
  <si>
    <t>CAPEX financing costs</t>
  </si>
  <si>
    <t>Total cost</t>
  </si>
  <si>
    <t xml:space="preserve">Potential CO₂ credits </t>
  </si>
  <si>
    <t xml:space="preserve">Total cost incl. CO2 credits </t>
  </si>
  <si>
    <t>Cost of H₂ per kgNH3</t>
  </si>
  <si>
    <t xml:space="preserve">Tap water consumption </t>
  </si>
  <si>
    <t>L/kgNH3</t>
  </si>
  <si>
    <t xml:space="preserve">Energy consumption </t>
  </si>
  <si>
    <t>kWh/kgNH3</t>
  </si>
  <si>
    <t>Energy consumption of H produced</t>
  </si>
  <si>
    <t>kWh/kgH</t>
  </si>
  <si>
    <t>Total avoided CO₂ emissions</t>
  </si>
  <si>
    <t>kgCO2Eq/kgNH3</t>
  </si>
  <si>
    <t xml:space="preserve">Peak power demand </t>
  </si>
  <si>
    <t>kW</t>
  </si>
  <si>
    <t>CAPEX installed per kW</t>
  </si>
  <si>
    <t>$/kWinstalled</t>
  </si>
  <si>
    <t>CAPEX uninstalled per kW</t>
  </si>
  <si>
    <t>$/kWuninstalled</t>
  </si>
  <si>
    <t>Profit</t>
  </si>
  <si>
    <t>NPV (cost)</t>
  </si>
  <si>
    <t>$</t>
  </si>
  <si>
    <t>Levelized cost of H2</t>
  </si>
  <si>
    <t>$/kgH2</t>
  </si>
  <si>
    <t>Levelized cost of NH₃</t>
  </si>
  <si>
    <t>$/kgNH₃</t>
  </si>
  <si>
    <t>Levelized cost of NH₃ incl. CO₂ credits</t>
  </si>
  <si>
    <t>Total cost N produced</t>
  </si>
  <si>
    <t>$/kgN</t>
  </si>
  <si>
    <t>Cost of H₂ from Hydrolyzer</t>
  </si>
  <si>
    <t>$/kgH₂</t>
  </si>
  <si>
    <t>OPEX - Energy BoP only</t>
  </si>
  <si>
    <t>Conversion factors:</t>
  </si>
  <si>
    <t>kgNH3/day</t>
  </si>
  <si>
    <t>kgNH3/year</t>
  </si>
  <si>
    <t>kgNH3/lifetime</t>
  </si>
  <si>
    <t>June 2024</t>
  </si>
  <si>
    <t>(in $ unless otherwise noted)</t>
  </si>
  <si>
    <t>Month</t>
  </si>
  <si>
    <t>Rate</t>
  </si>
  <si>
    <t>Year 1</t>
  </si>
  <si>
    <t>Year 2</t>
  </si>
  <si>
    <t>Year 3</t>
  </si>
  <si>
    <t>Sales &amp; Marketing</t>
  </si>
  <si>
    <t>Agronomist/design/PMF</t>
  </si>
  <si>
    <t>Sales</t>
  </si>
  <si>
    <t>Marketing costs</t>
  </si>
  <si>
    <t>Research &amp; Development</t>
  </si>
  <si>
    <t>CTO (Mattia)</t>
  </si>
  <si>
    <t>Lead Engineer (Alessandro)</t>
  </si>
  <si>
    <t>Software engineer (Mariana - part-time)</t>
  </si>
  <si>
    <t>Software engineer (Parham - Partime now)</t>
  </si>
  <si>
    <t>Lead electrochemist (Olivia)</t>
  </si>
  <si>
    <t>Chemical engineer (Sean)</t>
  </si>
  <si>
    <t>Material scientist (Aniket)</t>
  </si>
  <si>
    <t>Chemist/electrochemist (Trying to hire Val)</t>
  </si>
  <si>
    <t>Floormanager / procurement</t>
  </si>
  <si>
    <t>Industrial engineer</t>
  </si>
  <si>
    <t>Electrochemist</t>
  </si>
  <si>
    <t>Technician</t>
  </si>
  <si>
    <t>Running expenses (glassware, gasses, characterization.)</t>
  </si>
  <si>
    <t>Potentiostat, power supply, electricity</t>
  </si>
  <si>
    <t>Lab construction</t>
  </si>
  <si>
    <t>Setting up new labs</t>
  </si>
  <si>
    <t>Lab equipment purchase</t>
  </si>
  <si>
    <t>Lab maintenance</t>
  </si>
  <si>
    <t>Research and development (smaller cell testing) capex and opex</t>
  </si>
  <si>
    <t>Certification of lab</t>
  </si>
  <si>
    <t>Waste disposal</t>
  </si>
  <si>
    <t>Small e-chem stack</t>
  </si>
  <si>
    <t>Pilot unit (1kg /day) capex and opex</t>
  </si>
  <si>
    <t>Demo unit (5 kg/day) capex and opex</t>
  </si>
  <si>
    <t>Demo unit (50 kg/day) capex and opex</t>
  </si>
  <si>
    <t>General &amp; Administrative</t>
  </si>
  <si>
    <t>CEO (Suzanne)</t>
  </si>
  <si>
    <t>COO/CFO</t>
  </si>
  <si>
    <t>Business student (Jascha - parttime)</t>
  </si>
  <si>
    <t>LCA/TEA student (Gloria - parttime)</t>
  </si>
  <si>
    <t>Office manager/admin</t>
  </si>
  <si>
    <t>Patent costs</t>
  </si>
  <si>
    <t>Accounting</t>
  </si>
  <si>
    <t>Legal services</t>
  </si>
  <si>
    <t>IT consultant</t>
  </si>
  <si>
    <t>IT platforms, storage, and mails</t>
  </si>
  <si>
    <t>Server Housing / Cloud Computing</t>
  </si>
  <si>
    <t>New personelle starter pack (computer, screen, desk etc.)</t>
  </si>
  <si>
    <t>Office supplies</t>
  </si>
  <si>
    <t>Board expenditures</t>
  </si>
  <si>
    <t>Misc</t>
  </si>
  <si>
    <t>Travel &amp; related expenses</t>
  </si>
  <si>
    <t>Rent (50 m2 office/100 m2 lab)</t>
  </si>
  <si>
    <t xml:space="preserve">Insurance (Erhvervs, arbejdsskade, løsøre, maskinkasko) </t>
  </si>
  <si>
    <t>End 2026</t>
  </si>
  <si>
    <t>Mid 2026</t>
  </si>
  <si>
    <t>Total costs</t>
  </si>
  <si>
    <t>EBITDA</t>
  </si>
  <si>
    <t>Cashflow</t>
  </si>
  <si>
    <t>Equity investment (incl debt used for HQ costs)</t>
  </si>
  <si>
    <t>Grants (approximate)</t>
  </si>
  <si>
    <t>Acc. cashflow</t>
  </si>
  <si>
    <t>Start-up phase (DK)</t>
  </si>
  <si>
    <t>Proof of business (DK)</t>
  </si>
  <si>
    <t>Scale-up (EU)</t>
  </si>
  <si>
    <t>Fully commercialized (Global)</t>
  </si>
  <si>
    <t>Comments</t>
  </si>
  <si>
    <t>H1</t>
  </si>
  <si>
    <t>H2</t>
  </si>
  <si>
    <t>Revenue</t>
  </si>
  <si>
    <t>Revenue from leasing farming</t>
  </si>
  <si>
    <t xml:space="preserve">Here we assume we sell the generated ammonia for the first 10 small units via leasing agreements to prove the concept works. 90% availability assumed </t>
  </si>
  <si>
    <t>Revenue from selling farming</t>
  </si>
  <si>
    <t xml:space="preserve">Price assumed 300kUSD per unit based on NH3 price to farmer and TEA </t>
  </si>
  <si>
    <t xml:space="preserve">Revenue from service  farming </t>
  </si>
  <si>
    <t>Includes electrolyte refill every 5 years</t>
  </si>
  <si>
    <t>Revenue from selling fermentation</t>
  </si>
  <si>
    <t xml:space="preserve">We will sell all large-scale units. Price assumed 1'8MUSD </t>
  </si>
  <si>
    <t>Total revenue</t>
  </si>
  <si>
    <t>Manufacturing costs farming per unit (# produced)</t>
  </si>
  <si>
    <t>The manufacturing cost is directly based on the TEA, and changes based on the total number of units produced per year</t>
  </si>
  <si>
    <t xml:space="preserve">Manufacturing leasing total </t>
  </si>
  <si>
    <t xml:space="preserve">O&amp;M costs for leasing </t>
  </si>
  <si>
    <t>Lisencing agreement (DTU Patents)</t>
  </si>
  <si>
    <t xml:space="preserve">COGS for maintenance farming </t>
  </si>
  <si>
    <t xml:space="preserve">Costs for servicing farming units only referring to electrolyte replenishment every 5 years costs estimation 2k for 5l </t>
  </si>
  <si>
    <t>For the larger units needed for fermentation, it will take us longer to manufacture the units, so we start a bit later</t>
  </si>
  <si>
    <t>Total COGS</t>
  </si>
  <si>
    <t>Gross margin % from selling farming</t>
  </si>
  <si>
    <t xml:space="preserve">The gross margin increases as the COGS of the unit goes down due to learning rates and better manufacturing/automization. </t>
  </si>
  <si>
    <t>Gross margin % from selling fermentation</t>
  </si>
  <si>
    <t xml:space="preserve">Personelle </t>
  </si>
  <si>
    <t>Number of R&amp;D personelle</t>
  </si>
  <si>
    <t>The number of R&amp;D personelle will plateau as we switch to more sales</t>
  </si>
  <si>
    <t xml:space="preserve">Running expenses </t>
  </si>
  <si>
    <t xml:space="preserve">Material and prototypes </t>
  </si>
  <si>
    <t>Total R&amp;D</t>
  </si>
  <si>
    <t>The $89,000/person/year salary is an estimate based on our current salaries, and the starting salaries of people we know in similar industries in Denmark. This includes OH. Added 5% raise</t>
  </si>
  <si>
    <t>Number of SG&amp;A personelle</t>
  </si>
  <si>
    <t xml:space="preserve">Assuming 25% annual increase in personelle </t>
  </si>
  <si>
    <t>Office rent and supplies</t>
  </si>
  <si>
    <t xml:space="preserve">The initial office/lab rate at Alfa Laval for a startup is $1800/month. We will need 200 m2 lab in 2025 doubling the price. </t>
  </si>
  <si>
    <t>This is based on the attached expected patent upkeep costs, covering 100% of the upkeep costs. Assume 10% increase in price annually to account for new IP</t>
  </si>
  <si>
    <t>Legal costs (lawyer + accounting)</t>
  </si>
  <si>
    <t>IT costs</t>
  </si>
  <si>
    <t>Board expenditure</t>
  </si>
  <si>
    <t>Travel</t>
  </si>
  <si>
    <t xml:space="preserve">Insurrance </t>
  </si>
  <si>
    <t>Insurrance estimate from Tryg</t>
  </si>
  <si>
    <t xml:space="preserve">EBITDA </t>
  </si>
  <si>
    <t>Depreciation</t>
  </si>
  <si>
    <t>10 year linear depreciation and 4% depreciation on building</t>
  </si>
  <si>
    <t>EBIT  (Profit or operating profit)</t>
  </si>
  <si>
    <t>Acc. EBIT</t>
  </si>
  <si>
    <t>Interest expense</t>
  </si>
  <si>
    <t>See "bank loan" tab</t>
  </si>
  <si>
    <t xml:space="preserve">Other income </t>
  </si>
  <si>
    <t xml:space="preserve">Income from non-runing business assumed to be zero </t>
  </si>
  <si>
    <t xml:space="preserve">Income before Tax </t>
  </si>
  <si>
    <t xml:space="preserve">Taxes  </t>
  </si>
  <si>
    <t xml:space="preserve">22% Tax rate assummed, specifics on Denmark on Taxes at losses to be considered  </t>
  </si>
  <si>
    <t>Net Income (NI)</t>
  </si>
  <si>
    <t>CAPEX Expenditure (i.e. buildings, labs)</t>
  </si>
  <si>
    <t>The up-scaling production costs come from looking at a similar start-up (Amminex) who bought a large production facility in the greater copenhagen area</t>
  </si>
  <si>
    <t xml:space="preserve">Cash Flow from Operations </t>
  </si>
  <si>
    <t>Free Cash Flow (FCF)</t>
  </si>
  <si>
    <t>Grant</t>
  </si>
  <si>
    <t xml:space="preserve">Capital Raise </t>
  </si>
  <si>
    <t>Principal payment on debt</t>
  </si>
  <si>
    <t xml:space="preserve">Debt </t>
  </si>
  <si>
    <t>Cash Balance (end of period)</t>
  </si>
  <si>
    <t>https://www.calculator.net/loan-calculator.html?cloanamount=15%2C000%2C000&amp;cloanterm=20&amp;cloantermmonth=0&amp;cinterestrate=5&amp;ccompound=annually&amp;cpayback=year&amp;x=Calculate&amp;type=1#monthlyfixedr</t>
  </si>
  <si>
    <t>P</t>
  </si>
  <si>
    <t>i</t>
  </si>
  <si>
    <t>Beginning</t>
  </si>
  <si>
    <t>n</t>
  </si>
  <si>
    <t>Interest</t>
  </si>
  <si>
    <t>Principal</t>
  </si>
  <si>
    <t>A</t>
  </si>
  <si>
    <t>Ending</t>
  </si>
  <si>
    <t>EBIT</t>
  </si>
  <si>
    <t>COGS</t>
  </si>
  <si>
    <t>Small units</t>
  </si>
  <si>
    <t>COGS of units</t>
  </si>
  <si>
    <t>Number of sold farming units</t>
  </si>
  <si>
    <t>Number of leased farming units</t>
  </si>
  <si>
    <t>Cost category</t>
  </si>
  <si>
    <t>Unit category</t>
  </si>
  <si>
    <t>Demo</t>
  </si>
  <si>
    <t>Farming</t>
  </si>
  <si>
    <t>Fermentation</t>
  </si>
  <si>
    <t>Universal</t>
  </si>
  <si>
    <t>R&amp;D</t>
  </si>
  <si>
    <t>SG&amp;A</t>
  </si>
  <si>
    <t>Financing</t>
  </si>
  <si>
    <t>Profit result</t>
  </si>
  <si>
    <t>CAPEX</t>
  </si>
  <si>
    <t>Parameters</t>
  </si>
  <si>
    <t>Price of ammonia</t>
  </si>
  <si>
    <t>Manufacturing costs fermentation per unit (# produced)</t>
  </si>
  <si>
    <t xml:space="preserve">Manufacturing farming total </t>
  </si>
  <si>
    <t xml:space="preserve">Manufacturing fermentation total </t>
  </si>
  <si>
    <t>Total gross profit</t>
  </si>
  <si>
    <t>Gross margin % from leasing farming</t>
  </si>
  <si>
    <t>Total SG&amp;A</t>
  </si>
  <si>
    <t>Cost point</t>
  </si>
  <si>
    <t>Price of fermentation units</t>
  </si>
  <si>
    <t>Number of fermentation units</t>
  </si>
  <si>
    <t>Price of farming units</t>
  </si>
  <si>
    <t>Price of leased farming units</t>
  </si>
  <si>
    <t>Proportion of period left after installation</t>
  </si>
  <si>
    <t>Usage per period in kg</t>
  </si>
  <si>
    <t>Price of electrolyte</t>
  </si>
  <si>
    <t>Pay-as-you-go</t>
  </si>
  <si>
    <t>Wholesale</t>
  </si>
  <si>
    <t>Lump sum + pay-per-use</t>
  </si>
  <si>
    <t>Funding</t>
  </si>
  <si>
    <t>Lump sum payment</t>
  </si>
  <si>
    <t>Unit</t>
  </si>
  <si>
    <t>#</t>
  </si>
  <si>
    <t>Price per kg</t>
  </si>
  <si>
    <t xml:space="preserve">Daily capacity per unit </t>
  </si>
  <si>
    <t>Days of capacity per year</t>
  </si>
  <si>
    <t>d/y</t>
  </si>
  <si>
    <t>$/unit</t>
  </si>
  <si>
    <t>Manufacturing costs per unit</t>
  </si>
  <si>
    <t>$/y</t>
  </si>
  <si>
    <t>Yearly payment</t>
  </si>
  <si>
    <t>Lump sum + (usage-independent) subscription</t>
  </si>
  <si>
    <t>Number of units under this pricing model</t>
  </si>
  <si>
    <t xml:space="preserve">Wholesale unit price </t>
  </si>
  <si>
    <t>Electrolyte price</t>
  </si>
  <si>
    <t>(Usage-independent) subscription</t>
  </si>
  <si>
    <t>Lease-to-ownership</t>
  </si>
  <si>
    <t>y</t>
  </si>
  <si>
    <t>Years of payment (until ownership transferred)</t>
  </si>
  <si>
    <t>Revenue from pay-as-you-go</t>
  </si>
  <si>
    <t>Revenue from sale</t>
  </si>
  <si>
    <t>Revenue from usage-independent subscription</t>
  </si>
  <si>
    <t>Revenue from lease payments</t>
  </si>
  <si>
    <t xml:space="preserve">Revenue from lump sum + subscription </t>
  </si>
  <si>
    <t>Revenue from lump sum + pay-per-use</t>
  </si>
  <si>
    <t>Years of depreciation</t>
  </si>
  <si>
    <t>Manufacturing costs</t>
  </si>
  <si>
    <t>Maintenance costs</t>
  </si>
  <si>
    <t xml:space="preserve">O&amp;M costs </t>
  </si>
  <si>
    <t>Lump sum + lease-to-ownership</t>
  </si>
  <si>
    <t>Revenue from lump sum + lease-to-ownership</t>
  </si>
  <si>
    <t>COGS recognized for lump sum</t>
  </si>
  <si>
    <t>Gross margin % from pay-as-you-go</t>
  </si>
  <si>
    <t>Farming Units</t>
  </si>
  <si>
    <t>kg/unit/day</t>
  </si>
  <si>
    <t>Revenue from service to sold units every 5 years</t>
  </si>
  <si>
    <t>Total amount to be paid for lease over lifetime</t>
  </si>
  <si>
    <r>
      <t xml:space="preserve">Number of </t>
    </r>
    <r>
      <rPr>
        <b/>
        <u/>
        <sz val="12"/>
        <rFont val="Calibri"/>
        <family val="2"/>
      </rPr>
      <t>new</t>
    </r>
    <r>
      <rPr>
        <sz val="12"/>
        <rFont val="Calibri"/>
        <family val="2"/>
      </rPr>
      <t xml:space="preserve"> units under this pricing model</t>
    </r>
  </si>
  <si>
    <t>Pricing model(s) chosen</t>
  </si>
  <si>
    <t>Number of new units under this pricing model</t>
  </si>
  <si>
    <t>Price per kg of ammonia</t>
  </si>
  <si>
    <t>$ / refill</t>
  </si>
  <si>
    <t>Yes</t>
  </si>
  <si>
    <t>Industrial Units</t>
  </si>
  <si>
    <t>Please input the following parameters:</t>
  </si>
  <si>
    <t>(Manufacturing) CAPEX</t>
  </si>
  <si>
    <t>Project financing interest rate</t>
  </si>
  <si>
    <t>Project financing interest payments</t>
  </si>
  <si>
    <t>Revenue from service agreement</t>
  </si>
  <si>
    <t>Service agreement charge per unit</t>
  </si>
  <si>
    <t>O&amp;M costs</t>
  </si>
  <si>
    <t>Service agreement costs</t>
  </si>
  <si>
    <t xml:space="preserve">       Farming Units</t>
  </si>
  <si>
    <t xml:space="preserve">       Industrial Units</t>
  </si>
  <si>
    <t>Total additional amount to be paid for lease over lifetime</t>
  </si>
  <si>
    <t>Manufacturing CAPEX (i.e., owning units)</t>
  </si>
  <si>
    <t>CAPEX Expenditure (i.e., buildings, labs)</t>
  </si>
  <si>
    <t>Total project financing interest payment</t>
  </si>
  <si>
    <t>Project financing interest expense</t>
  </si>
  <si>
    <r>
      <t xml:space="preserve">answer by choosing yes or no from dropdown </t>
    </r>
    <r>
      <rPr>
        <b/>
        <sz val="11"/>
        <color theme="0" tint="-0.34998626667073579"/>
        <rFont val="Segoe UI Symbol"/>
        <family val="2"/>
      </rPr>
      <t>←</t>
    </r>
    <r>
      <rPr>
        <sz val="11"/>
        <color theme="0" tint="-0.34998626667073579"/>
        <rFont val="Segoe UI Symbol"/>
        <family val="2"/>
      </rPr>
      <t xml:space="preserve"> </t>
    </r>
  </si>
  <si>
    <t>Total Funding Received</t>
  </si>
  <si>
    <t xml:space="preserve">Pay-per-use project financing interest payments </t>
  </si>
  <si>
    <t>(Usage-independent) subscription project financing interest payments</t>
  </si>
  <si>
    <t>Lease-to-ownership project financing interest payments</t>
  </si>
  <si>
    <t>Lump sum + pay-per-use project financing interest payments</t>
  </si>
  <si>
    <t>Lump sum + lease-to-ownership project financing interest payments</t>
  </si>
  <si>
    <t>Number of units under pay-as-you-go expected to pay this period</t>
  </si>
  <si>
    <t>Number of units under subscription expected to pay this period</t>
  </si>
  <si>
    <t>Number of units under lease expected to pay this period</t>
  </si>
  <si>
    <t>Number of units under lump sum + pay-per-use expected to pay this period</t>
  </si>
  <si>
    <t>Number of units under lump sum + subscription expected to pay this period</t>
  </si>
  <si>
    <t>Number of units under lump sum + lease expected to pay this period</t>
  </si>
  <si>
    <t xml:space="preserve">Income from non-running business assumed to be zero </t>
  </si>
  <si>
    <t>Units pay-per-use</t>
  </si>
  <si>
    <t>Total depreciation</t>
  </si>
  <si>
    <t>$ (non-financial)</t>
  </si>
  <si>
    <t>Funding interest expense</t>
  </si>
  <si>
    <t>Total (Manufacturing) CAPEX Farming Units</t>
  </si>
  <si>
    <t>Total Revenue Industrial Units</t>
  </si>
  <si>
    <t>Total Revenue Farming Units</t>
  </si>
  <si>
    <t>Total COGS Farming Units</t>
  </si>
  <si>
    <t>Total COGS Industrial Units</t>
  </si>
  <si>
    <t>Total (Manufacturing) CAPEX Industrial Units</t>
  </si>
  <si>
    <t>Total</t>
  </si>
  <si>
    <t>No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</si>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</sst>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kr.&quot;_-;\-* #,##0.00\ &quot;kr.&quot;_-;_-* &quot;-&quot;??\ &quot;kr.&quot;_-;_-@_-"/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[$$-409]* #,##0.00_ ;_-[$$-409]* \-#,##0.00\ ;_-[$$-409]* &quot;-&quot;??_ ;_-@_ "/>
    <numFmt numFmtId="167" formatCode="_-[$$-409]* #,##0_ ;_-[$$-409]* \-#,##0\ ;_-[$$-409]* &quot;-&quot;??_ ;_-@_ "/>
    <numFmt numFmtId="168" formatCode="_([$$-409]* #,##0_);_([$$-409]* \(#,##0\);_([$$-409]* &quot;-&quot;??_);_(@_)"/>
  </numFmts>
  <fonts count="5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1"/>
      <color theme="1"/>
      <name val="Calibri"/>
      <family val="2"/>
      <scheme val="minor"/>
    </font>
    <font>
      <sz val="8"/>
      <color rgb="FF31333F"/>
      <name val="Source Sans Pro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1333F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i/>
      <sz val="10"/>
      <color rgb="FF000000"/>
      <name val="Arial"/>
      <family val="2"/>
    </font>
    <font>
      <i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7030A0"/>
      <name val="Arial"/>
      <family val="2"/>
    </font>
    <font>
      <b/>
      <sz val="16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Tahoma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color theme="9"/>
      <name val="Arial"/>
      <family val="2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0" tint="-0.499984740745262"/>
      <name val="Calibri"/>
      <family val="2"/>
    </font>
    <font>
      <b/>
      <u/>
      <sz val="12"/>
      <name val="Calibri"/>
      <family val="2"/>
    </font>
    <font>
      <i/>
      <sz val="11"/>
      <color rgb="FFFF8A00"/>
      <name val="Calibri"/>
      <family val="2"/>
    </font>
    <font>
      <sz val="14"/>
      <color rgb="FF2C7C3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b/>
      <sz val="18"/>
      <color theme="0" tint="-0.499984740745262"/>
      <name val="Calibri"/>
      <family val="2"/>
    </font>
    <font>
      <i/>
      <sz val="12"/>
      <color rgb="FFFF8A00"/>
      <name val="Calibri"/>
      <family val="2"/>
    </font>
    <font>
      <i/>
      <sz val="12"/>
      <name val="Calibri"/>
      <family val="2"/>
    </font>
    <font>
      <sz val="11"/>
      <color theme="0" tint="-0.34998626667073579"/>
      <name val="Segoe UI Symbol"/>
      <family val="2"/>
    </font>
    <font>
      <b/>
      <sz val="11"/>
      <color theme="0" tint="-0.34998626667073579"/>
      <name val="Segoe UI Symbol"/>
      <family val="2"/>
    </font>
    <font>
      <sz val="11"/>
      <color theme="0" tint="-0.34998626667073579"/>
      <name val="Calibri"/>
      <family val="2"/>
      <scheme val="minor"/>
    </font>
    <font>
      <sz val="12"/>
      <color theme="0" tint="-0.249977111117893"/>
      <name val="Calibri"/>
      <family val="2"/>
    </font>
    <font>
      <sz val="11"/>
      <color theme="0" tint="-0.249977111117893"/>
      <name val="Calibri"/>
      <family val="2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</font>
    <font>
      <sz val="14"/>
      <color theme="0" tint="-0.249977111117893"/>
      <name val="Calibri"/>
      <family val="2"/>
      <scheme val="minor"/>
    </font>
    <font>
      <b/>
      <sz val="14"/>
      <color theme="0" tint="-0.249977111117893"/>
      <name val="Calibri"/>
      <family val="2"/>
    </font>
    <font>
      <sz val="14"/>
      <color theme="0" tint="-0.249977111117893"/>
      <name val="Calibri"/>
      <family val="2"/>
    </font>
    <font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3F3F3"/>
      </patternFill>
    </fill>
    <fill>
      <patternFill patternType="solid">
        <fgColor rgb="FFFF8A00"/>
        <bgColor indexed="64"/>
      </patternFill>
    </fill>
  </fills>
  <borders count="6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0" tint="-0.34998626667073579"/>
      </bottom>
      <diagonal/>
    </border>
    <border>
      <left style="thin">
        <color theme="1"/>
      </left>
      <right/>
      <top style="thin">
        <color rgb="FFD9E2F3"/>
      </top>
      <bottom style="thin">
        <color rgb="FFD9E2F3"/>
      </bottom>
      <diagonal/>
    </border>
    <border>
      <left/>
      <right style="thin">
        <color theme="1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/>
      <top/>
      <bottom style="thin">
        <color rgb="FF000000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theme="1"/>
      </left>
      <right/>
      <top style="medium">
        <color rgb="FF000000"/>
      </top>
      <bottom/>
      <diagonal/>
    </border>
    <border>
      <left style="thin">
        <color theme="1"/>
      </left>
      <right/>
      <top style="thin">
        <color rgb="FF000000"/>
      </top>
      <bottom style="thin">
        <color rgb="FF000000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medium">
        <color indexed="64"/>
      </top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medium">
        <color rgb="FF2C7C30"/>
      </left>
      <right/>
      <top style="medium">
        <color indexed="64"/>
      </top>
      <bottom/>
      <diagonal/>
    </border>
    <border>
      <left style="medium">
        <color rgb="FF2C7C30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6">
    <xf numFmtId="0" fontId="0" fillId="0" borderId="0"/>
    <xf numFmtId="43" fontId="2" fillId="0" borderId="0"/>
    <xf numFmtId="43" fontId="2" fillId="0" borderId="0"/>
    <xf numFmtId="43" fontId="2" fillId="0" borderId="0" applyFont="0" applyFill="0" applyBorder="0" applyAlignment="0" applyProtection="0"/>
    <xf numFmtId="0" fontId="16" fillId="0" borderId="0"/>
    <xf numFmtId="44" fontId="2" fillId="0" borderId="0" applyFont="0" applyFill="0" applyBorder="0" applyAlignment="0" applyProtection="0"/>
  </cellStyleXfs>
  <cellXfs count="405">
    <xf numFmtId="0" fontId="0" fillId="0" borderId="0" xfId="0"/>
    <xf numFmtId="43" fontId="0" fillId="0" borderId="0" xfId="2" applyFont="1"/>
    <xf numFmtId="43" fontId="2" fillId="0" borderId="0" xfId="2"/>
    <xf numFmtId="0" fontId="3" fillId="0" borderId="0" xfId="0" applyFont="1"/>
    <xf numFmtId="0" fontId="4" fillId="0" borderId="0" xfId="0" applyFont="1"/>
    <xf numFmtId="164" fontId="2" fillId="0" borderId="0" xfId="2" applyNumberFormat="1"/>
    <xf numFmtId="164" fontId="2" fillId="0" borderId="0" xfId="1" applyNumberFormat="1"/>
    <xf numFmtId="1" fontId="0" fillId="0" borderId="0" xfId="2" applyNumberFormat="1" applyFont="1"/>
    <xf numFmtId="0" fontId="7" fillId="0" borderId="0" xfId="0" applyFont="1"/>
    <xf numFmtId="0" fontId="7" fillId="0" borderId="5" xfId="0" applyFont="1" applyBorder="1"/>
    <xf numFmtId="0" fontId="5" fillId="0" borderId="0" xfId="0" applyFont="1"/>
    <xf numFmtId="0" fontId="8" fillId="0" borderId="11" xfId="0" applyFont="1" applyBorder="1"/>
    <xf numFmtId="166" fontId="10" fillId="0" borderId="0" xfId="0" applyNumberFormat="1" applyFont="1"/>
    <xf numFmtId="166" fontId="10" fillId="0" borderId="5" xfId="0" applyNumberFormat="1" applyFont="1" applyBorder="1"/>
    <xf numFmtId="167" fontId="10" fillId="0" borderId="0" xfId="0" applyNumberFormat="1" applyFont="1"/>
    <xf numFmtId="167" fontId="10" fillId="0" borderId="5" xfId="0" applyNumberFormat="1" applyFont="1" applyBorder="1"/>
    <xf numFmtId="0" fontId="10" fillId="0" borderId="15" xfId="0" applyFont="1" applyBorder="1"/>
    <xf numFmtId="167" fontId="9" fillId="0" borderId="0" xfId="0" applyNumberFormat="1" applyFont="1"/>
    <xf numFmtId="167" fontId="9" fillId="0" borderId="5" xfId="0" applyNumberFormat="1" applyFont="1" applyBorder="1"/>
    <xf numFmtId="166" fontId="8" fillId="0" borderId="0" xfId="0" applyNumberFormat="1" applyFont="1"/>
    <xf numFmtId="167" fontId="8" fillId="0" borderId="0" xfId="0" applyNumberFormat="1" applyFont="1"/>
    <xf numFmtId="167" fontId="8" fillId="0" borderId="5" xfId="0" applyNumberFormat="1" applyFont="1" applyBorder="1"/>
    <xf numFmtId="0" fontId="10" fillId="0" borderId="0" xfId="0" applyFont="1"/>
    <xf numFmtId="0" fontId="10" fillId="0" borderId="5" xfId="0" applyFont="1" applyBorder="1"/>
    <xf numFmtId="167" fontId="10" fillId="0" borderId="15" xfId="0" applyNumberFormat="1" applyFont="1" applyBorder="1"/>
    <xf numFmtId="0" fontId="9" fillId="0" borderId="20" xfId="0" applyFont="1" applyBorder="1"/>
    <xf numFmtId="0" fontId="9" fillId="0" borderId="2" xfId="0" applyFont="1" applyBorder="1"/>
    <xf numFmtId="165" fontId="9" fillId="0" borderId="2" xfId="0" applyNumberFormat="1" applyFont="1" applyBorder="1"/>
    <xf numFmtId="1" fontId="10" fillId="0" borderId="0" xfId="0" applyNumberFormat="1" applyFont="1"/>
    <xf numFmtId="167" fontId="10" fillId="0" borderId="16" xfId="0" applyNumberFormat="1" applyFont="1" applyBorder="1"/>
    <xf numFmtId="0" fontId="11" fillId="0" borderId="0" xfId="0" applyFont="1"/>
    <xf numFmtId="0" fontId="0" fillId="0" borderId="0" xfId="2" applyNumberFormat="1" applyFont="1"/>
    <xf numFmtId="166" fontId="8" fillId="0" borderId="5" xfId="0" applyNumberFormat="1" applyFont="1" applyBorder="1"/>
    <xf numFmtId="0" fontId="6" fillId="0" borderId="7" xfId="0" applyFont="1" applyBorder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43" fontId="13" fillId="2" borderId="8" xfId="2" applyFont="1" applyFill="1" applyBorder="1"/>
    <xf numFmtId="43" fontId="13" fillId="2" borderId="7" xfId="2" applyFont="1" applyFill="1" applyBorder="1"/>
    <xf numFmtId="43" fontId="13" fillId="2" borderId="5" xfId="2" applyFont="1" applyFill="1" applyBorder="1"/>
    <xf numFmtId="43" fontId="13" fillId="2" borderId="0" xfId="2" applyFont="1" applyFill="1"/>
    <xf numFmtId="43" fontId="13" fillId="2" borderId="5" xfId="2" applyFont="1" applyFill="1" applyBorder="1" applyAlignment="1">
      <alignment horizontal="right"/>
    </xf>
    <xf numFmtId="43" fontId="13" fillId="2" borderId="0" xfId="2" applyFont="1" applyFill="1" applyAlignment="1">
      <alignment horizontal="right"/>
    </xf>
    <xf numFmtId="43" fontId="13" fillId="2" borderId="3" xfId="2" applyFont="1" applyFill="1" applyBorder="1" applyAlignment="1">
      <alignment horizontal="right"/>
    </xf>
    <xf numFmtId="43" fontId="13" fillId="2" borderId="2" xfId="2" applyFont="1" applyFill="1" applyBorder="1" applyAlignment="1">
      <alignment horizontal="right"/>
    </xf>
    <xf numFmtId="0" fontId="14" fillId="3" borderId="7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14" fillId="3" borderId="6" xfId="0" applyFont="1" applyFill="1" applyBorder="1" applyAlignment="1">
      <alignment horizontal="right" vertical="center" wrapText="1"/>
    </xf>
    <xf numFmtId="0" fontId="14" fillId="3" borderId="5" xfId="0" applyFont="1" applyFill="1" applyBorder="1" applyAlignment="1">
      <alignment horizontal="right" vertical="center" wrapText="1"/>
    </xf>
    <xf numFmtId="0" fontId="14" fillId="3" borderId="0" xfId="0" applyFont="1" applyFill="1" applyAlignment="1">
      <alignment horizontal="right" vertical="center" wrapText="1"/>
    </xf>
    <xf numFmtId="0" fontId="14" fillId="3" borderId="4" xfId="0" applyFont="1" applyFill="1" applyBorder="1" applyAlignment="1">
      <alignment horizontal="right" vertical="center" wrapText="1"/>
    </xf>
    <xf numFmtId="0" fontId="6" fillId="3" borderId="3" xfId="0" applyFont="1" applyFill="1" applyBorder="1" applyAlignment="1">
      <alignment horizontal="right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0" fillId="0" borderId="5" xfId="0" applyBorder="1"/>
    <xf numFmtId="1" fontId="10" fillId="0" borderId="5" xfId="0" applyNumberFormat="1" applyFont="1" applyBorder="1"/>
    <xf numFmtId="0" fontId="0" fillId="4" borderId="0" xfId="0" applyFill="1"/>
    <xf numFmtId="0" fontId="15" fillId="0" borderId="0" xfId="0" applyFont="1"/>
    <xf numFmtId="1" fontId="15" fillId="0" borderId="0" xfId="0" applyNumberFormat="1" applyFont="1"/>
    <xf numFmtId="164" fontId="15" fillId="0" borderId="0" xfId="3" applyNumberFormat="1" applyFont="1"/>
    <xf numFmtId="164" fontId="15" fillId="0" borderId="21" xfId="3" applyNumberFormat="1" applyFont="1" applyBorder="1"/>
    <xf numFmtId="164" fontId="15" fillId="0" borderId="22" xfId="3" applyNumberFormat="1" applyFont="1" applyBorder="1"/>
    <xf numFmtId="164" fontId="15" fillId="0" borderId="23" xfId="3" applyNumberFormat="1" applyFont="1" applyBorder="1"/>
    <xf numFmtId="0" fontId="15" fillId="0" borderId="24" xfId="0" applyFont="1" applyBorder="1"/>
    <xf numFmtId="0" fontId="15" fillId="0" borderId="25" xfId="0" applyFont="1" applyBorder="1"/>
    <xf numFmtId="164" fontId="15" fillId="0" borderId="26" xfId="3" applyNumberFormat="1" applyFont="1" applyBorder="1"/>
    <xf numFmtId="164" fontId="15" fillId="0" borderId="0" xfId="3" applyNumberFormat="1" applyFont="1" applyBorder="1"/>
    <xf numFmtId="164" fontId="15" fillId="0" borderId="4" xfId="3" applyNumberFormat="1" applyFont="1" applyBorder="1"/>
    <xf numFmtId="0" fontId="15" fillId="0" borderId="27" xfId="0" applyFont="1" applyBorder="1"/>
    <xf numFmtId="0" fontId="15" fillId="0" borderId="28" xfId="0" applyFont="1" applyBorder="1"/>
    <xf numFmtId="3" fontId="15" fillId="0" borderId="26" xfId="0" applyNumberFormat="1" applyFont="1" applyBorder="1"/>
    <xf numFmtId="3" fontId="15" fillId="0" borderId="0" xfId="0" applyNumberFormat="1" applyFont="1"/>
    <xf numFmtId="3" fontId="16" fillId="0" borderId="26" xfId="4" applyNumberFormat="1" applyBorder="1"/>
    <xf numFmtId="3" fontId="16" fillId="0" borderId="0" xfId="4" applyNumberFormat="1"/>
    <xf numFmtId="164" fontId="15" fillId="0" borderId="0" xfId="3" applyNumberFormat="1" applyFont="1" applyFill="1"/>
    <xf numFmtId="164" fontId="17" fillId="0" borderId="4" xfId="3" applyNumberFormat="1" applyFont="1" applyFill="1" applyBorder="1"/>
    <xf numFmtId="164" fontId="17" fillId="0" borderId="0" xfId="3" applyNumberFormat="1" applyFont="1" applyFill="1" applyBorder="1"/>
    <xf numFmtId="164" fontId="15" fillId="0" borderId="26" xfId="3" applyNumberFormat="1" applyFont="1" applyFill="1" applyBorder="1"/>
    <xf numFmtId="164" fontId="15" fillId="0" borderId="0" xfId="3" applyNumberFormat="1" applyFont="1" applyFill="1" applyBorder="1"/>
    <xf numFmtId="0" fontId="17" fillId="0" borderId="0" xfId="0" applyFont="1"/>
    <xf numFmtId="0" fontId="18" fillId="0" borderId="28" xfId="0" applyFont="1" applyBorder="1"/>
    <xf numFmtId="3" fontId="16" fillId="5" borderId="21" xfId="4" applyNumberFormat="1" applyFill="1" applyBorder="1"/>
    <xf numFmtId="3" fontId="16" fillId="5" borderId="22" xfId="4" applyNumberFormat="1" applyFill="1" applyBorder="1"/>
    <xf numFmtId="164" fontId="15" fillId="5" borderId="23" xfId="3" applyNumberFormat="1" applyFont="1" applyFill="1" applyBorder="1"/>
    <xf numFmtId="164" fontId="15" fillId="5" borderId="22" xfId="3" applyNumberFormat="1" applyFont="1" applyFill="1" applyBorder="1"/>
    <xf numFmtId="164" fontId="15" fillId="5" borderId="25" xfId="3" applyNumberFormat="1" applyFont="1" applyFill="1" applyBorder="1"/>
    <xf numFmtId="0" fontId="15" fillId="5" borderId="29" xfId="0" applyFont="1" applyFill="1" applyBorder="1"/>
    <xf numFmtId="0" fontId="19" fillId="6" borderId="25" xfId="0" applyFont="1" applyFill="1" applyBorder="1"/>
    <xf numFmtId="3" fontId="16" fillId="5" borderId="26" xfId="4" applyNumberFormat="1" applyFill="1" applyBorder="1"/>
    <xf numFmtId="3" fontId="16" fillId="5" borderId="0" xfId="4" applyNumberFormat="1" applyFill="1"/>
    <xf numFmtId="164" fontId="15" fillId="5" borderId="4" xfId="3" applyNumberFormat="1" applyFont="1" applyFill="1" applyBorder="1"/>
    <xf numFmtId="164" fontId="15" fillId="5" borderId="0" xfId="3" applyNumberFormat="1" applyFont="1" applyFill="1" applyBorder="1"/>
    <xf numFmtId="0" fontId="15" fillId="5" borderId="27" xfId="0" applyFont="1" applyFill="1" applyBorder="1"/>
    <xf numFmtId="0" fontId="19" fillId="6" borderId="28" xfId="0" applyFont="1" applyFill="1" applyBorder="1"/>
    <xf numFmtId="3" fontId="16" fillId="5" borderId="30" xfId="4" applyNumberFormat="1" applyFill="1" applyBorder="1"/>
    <xf numFmtId="3" fontId="16" fillId="5" borderId="7" xfId="4" applyNumberFormat="1" applyFill="1" applyBorder="1"/>
    <xf numFmtId="0" fontId="15" fillId="5" borderId="6" xfId="0" applyFont="1" applyFill="1" applyBorder="1"/>
    <xf numFmtId="0" fontId="15" fillId="5" borderId="7" xfId="0" applyFont="1" applyFill="1" applyBorder="1"/>
    <xf numFmtId="0" fontId="15" fillId="5" borderId="31" xfId="0" applyFont="1" applyFill="1" applyBorder="1"/>
    <xf numFmtId="0" fontId="18" fillId="6" borderId="32" xfId="0" applyFont="1" applyFill="1" applyBorder="1"/>
    <xf numFmtId="0" fontId="17" fillId="0" borderId="27" xfId="0" applyFont="1" applyBorder="1"/>
    <xf numFmtId="3" fontId="16" fillId="0" borderId="4" xfId="4" applyNumberFormat="1" applyBorder="1"/>
    <xf numFmtId="164" fontId="17" fillId="0" borderId="4" xfId="3" applyNumberFormat="1" applyFont="1" applyBorder="1"/>
    <xf numFmtId="164" fontId="17" fillId="0" borderId="0" xfId="3" applyNumberFormat="1" applyFont="1" applyBorder="1"/>
    <xf numFmtId="3" fontId="20" fillId="0" borderId="4" xfId="4" applyNumberFormat="1" applyFont="1" applyBorder="1"/>
    <xf numFmtId="3" fontId="20" fillId="0" borderId="0" xfId="4" applyNumberFormat="1" applyFont="1"/>
    <xf numFmtId="164" fontId="21" fillId="0" borderId="4" xfId="3" applyNumberFormat="1" applyFont="1" applyBorder="1"/>
    <xf numFmtId="164" fontId="21" fillId="0" borderId="0" xfId="3" applyNumberFormat="1" applyFont="1" applyBorder="1"/>
    <xf numFmtId="3" fontId="16" fillId="0" borderId="33" xfId="4" applyNumberFormat="1" applyBorder="1"/>
    <xf numFmtId="3" fontId="16" fillId="0" borderId="34" xfId="4" applyNumberFormat="1" applyBorder="1"/>
    <xf numFmtId="0" fontId="17" fillId="0" borderId="35" xfId="0" applyFont="1" applyBorder="1"/>
    <xf numFmtId="1" fontId="17" fillId="0" borderId="27" xfId="0" applyNumberFormat="1" applyFont="1" applyBorder="1"/>
    <xf numFmtId="0" fontId="17" fillId="0" borderId="4" xfId="0" applyFont="1" applyBorder="1"/>
    <xf numFmtId="164" fontId="15" fillId="0" borderId="33" xfId="3" applyNumberFormat="1" applyFont="1" applyBorder="1"/>
    <xf numFmtId="164" fontId="15" fillId="0" borderId="34" xfId="3" applyNumberFormat="1" applyFont="1" applyBorder="1"/>
    <xf numFmtId="3" fontId="20" fillId="0" borderId="4" xfId="0" applyNumberFormat="1" applyFont="1" applyBorder="1"/>
    <xf numFmtId="3" fontId="20" fillId="0" borderId="0" xfId="0" applyNumberFormat="1" applyFont="1"/>
    <xf numFmtId="164" fontId="21" fillId="0" borderId="26" xfId="3" applyNumberFormat="1" applyFont="1" applyBorder="1"/>
    <xf numFmtId="3" fontId="15" fillId="0" borderId="6" xfId="0" applyNumberFormat="1" applyFont="1" applyBorder="1"/>
    <xf numFmtId="3" fontId="15" fillId="0" borderId="7" xfId="0" applyNumberFormat="1" applyFont="1" applyBorder="1"/>
    <xf numFmtId="164" fontId="15" fillId="0" borderId="38" xfId="3" applyNumberFormat="1" applyFont="1" applyBorder="1"/>
    <xf numFmtId="0" fontId="17" fillId="0" borderId="39" xfId="0" applyFont="1" applyBorder="1"/>
    <xf numFmtId="0" fontId="15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40" xfId="0" applyFont="1" applyBorder="1" applyAlignment="1">
      <alignment horizontal="center"/>
    </xf>
    <xf numFmtId="0" fontId="15" fillId="0" borderId="12" xfId="3" applyNumberFormat="1" applyFont="1" applyBorder="1"/>
    <xf numFmtId="3" fontId="15" fillId="0" borderId="12" xfId="0" applyNumberFormat="1" applyFont="1" applyBorder="1"/>
    <xf numFmtId="0" fontId="18" fillId="0" borderId="12" xfId="0" applyFont="1" applyBorder="1"/>
    <xf numFmtId="0" fontId="15" fillId="0" borderId="0" xfId="3" applyNumberFormat="1" applyFont="1"/>
    <xf numFmtId="0" fontId="22" fillId="0" borderId="0" xfId="3" applyNumberFormat="1" applyFont="1" applyAlignment="1">
      <alignment horizontal="right"/>
    </xf>
    <xf numFmtId="0" fontId="18" fillId="0" borderId="0" xfId="3" applyNumberFormat="1" applyFont="1"/>
    <xf numFmtId="0" fontId="23" fillId="0" borderId="0" xfId="3" applyNumberFormat="1" applyFont="1"/>
    <xf numFmtId="0" fontId="24" fillId="0" borderId="0" xfId="0" applyFont="1"/>
    <xf numFmtId="166" fontId="10" fillId="0" borderId="16" xfId="0" applyNumberFormat="1" applyFont="1" applyBorder="1"/>
    <xf numFmtId="166" fontId="8" fillId="0" borderId="15" xfId="0" applyNumberFormat="1" applyFont="1" applyBorder="1"/>
    <xf numFmtId="167" fontId="8" fillId="0" borderId="15" xfId="0" applyNumberFormat="1" applyFont="1" applyBorder="1"/>
    <xf numFmtId="167" fontId="8" fillId="0" borderId="16" xfId="0" applyNumberFormat="1" applyFont="1" applyBorder="1"/>
    <xf numFmtId="43" fontId="13" fillId="4" borderId="5" xfId="2" applyFont="1" applyFill="1" applyBorder="1"/>
    <xf numFmtId="43" fontId="13" fillId="4" borderId="0" xfId="2" applyFont="1" applyFill="1"/>
    <xf numFmtId="43" fontId="0" fillId="4" borderId="0" xfId="2" applyFont="1" applyFill="1"/>
    <xf numFmtId="167" fontId="10" fillId="0" borderId="5" xfId="5" applyNumberFormat="1" applyFont="1" applyBorder="1"/>
    <xf numFmtId="167" fontId="10" fillId="0" borderId="0" xfId="5" applyNumberFormat="1" applyFont="1"/>
    <xf numFmtId="167" fontId="10" fillId="0" borderId="16" xfId="5" applyNumberFormat="1" applyFont="1" applyBorder="1"/>
    <xf numFmtId="167" fontId="10" fillId="0" borderId="15" xfId="5" applyNumberFormat="1" applyFont="1" applyBorder="1"/>
    <xf numFmtId="10" fontId="9" fillId="0" borderId="10" xfId="0" applyNumberFormat="1" applyFont="1" applyBorder="1"/>
    <xf numFmtId="10" fontId="9" fillId="0" borderId="41" xfId="0" applyNumberFormat="1" applyFont="1" applyBorder="1"/>
    <xf numFmtId="10" fontId="9" fillId="0" borderId="3" xfId="0" applyNumberFormat="1" applyFont="1" applyBorder="1"/>
    <xf numFmtId="167" fontId="10" fillId="0" borderId="17" xfId="5" applyNumberFormat="1" applyFont="1" applyBorder="1"/>
    <xf numFmtId="0" fontId="15" fillId="0" borderId="36" xfId="0" applyFont="1" applyBorder="1"/>
    <xf numFmtId="0" fontId="15" fillId="0" borderId="3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3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8" fillId="0" borderId="14" xfId="0" applyFont="1" applyBorder="1" applyAlignment="1">
      <alignment horizontal="left"/>
    </xf>
    <xf numFmtId="0" fontId="28" fillId="0" borderId="0" xfId="0" applyFont="1" applyAlignment="1">
      <alignment horizontal="left"/>
    </xf>
    <xf numFmtId="0" fontId="28" fillId="0" borderId="18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4" fillId="0" borderId="19" xfId="0" applyFont="1" applyBorder="1"/>
    <xf numFmtId="0" fontId="11" fillId="0" borderId="15" xfId="0" applyFont="1" applyBorder="1"/>
    <xf numFmtId="0" fontId="28" fillId="0" borderId="12" xfId="0" applyFont="1" applyBorder="1"/>
    <xf numFmtId="0" fontId="28" fillId="0" borderId="2" xfId="0" applyFont="1" applyBorder="1"/>
    <xf numFmtId="0" fontId="28" fillId="0" borderId="13" xfId="0" applyFont="1" applyBorder="1"/>
    <xf numFmtId="164" fontId="30" fillId="0" borderId="0" xfId="3" applyNumberFormat="1" applyFont="1" applyBorder="1"/>
    <xf numFmtId="164" fontId="30" fillId="0" borderId="4" xfId="3" applyNumberFormat="1" applyFont="1" applyBorder="1"/>
    <xf numFmtId="164" fontId="30" fillId="0" borderId="0" xfId="3" applyNumberFormat="1" applyFont="1"/>
    <xf numFmtId="164" fontId="30" fillId="0" borderId="34" xfId="3" applyNumberFormat="1" applyFont="1" applyBorder="1"/>
    <xf numFmtId="164" fontId="30" fillId="0" borderId="33" xfId="3" applyNumberFormat="1" applyFont="1" applyBorder="1"/>
    <xf numFmtId="0" fontId="30" fillId="0" borderId="0" xfId="0" applyFont="1"/>
    <xf numFmtId="0" fontId="7" fillId="5" borderId="0" xfId="0" applyFont="1" applyFill="1"/>
    <xf numFmtId="0" fontId="28" fillId="5" borderId="0" xfId="0" applyFont="1" applyFill="1"/>
    <xf numFmtId="167" fontId="8" fillId="5" borderId="0" xfId="0" applyNumberFormat="1" applyFont="1" applyFill="1"/>
    <xf numFmtId="167" fontId="8" fillId="5" borderId="15" xfId="0" applyNumberFormat="1" applyFont="1" applyFill="1" applyBorder="1"/>
    <xf numFmtId="166" fontId="10" fillId="5" borderId="0" xfId="0" applyNumberFormat="1" applyFont="1" applyFill="1"/>
    <xf numFmtId="167" fontId="10" fillId="5" borderId="0" xfId="0" applyNumberFormat="1" applyFont="1" applyFill="1"/>
    <xf numFmtId="0" fontId="10" fillId="5" borderId="0" xfId="0" applyFont="1" applyFill="1"/>
    <xf numFmtId="167" fontId="9" fillId="5" borderId="0" xfId="0" applyNumberFormat="1" applyFont="1" applyFill="1"/>
    <xf numFmtId="165" fontId="9" fillId="5" borderId="2" xfId="0" applyNumberFormat="1" applyFont="1" applyFill="1" applyBorder="1"/>
    <xf numFmtId="167" fontId="10" fillId="5" borderId="15" xfId="0" applyNumberFormat="1" applyFont="1" applyFill="1" applyBorder="1"/>
    <xf numFmtId="0" fontId="0" fillId="5" borderId="0" xfId="0" applyFill="1"/>
    <xf numFmtId="0" fontId="7" fillId="5" borderId="5" xfId="0" applyFont="1" applyFill="1" applyBorder="1"/>
    <xf numFmtId="0" fontId="28" fillId="5" borderId="13" xfId="0" applyFont="1" applyFill="1" applyBorder="1"/>
    <xf numFmtId="0" fontId="28" fillId="5" borderId="12" xfId="0" applyFont="1" applyFill="1" applyBorder="1"/>
    <xf numFmtId="167" fontId="8" fillId="5" borderId="5" xfId="0" applyNumberFormat="1" applyFont="1" applyFill="1" applyBorder="1"/>
    <xf numFmtId="166" fontId="8" fillId="5" borderId="5" xfId="0" applyNumberFormat="1" applyFont="1" applyFill="1" applyBorder="1"/>
    <xf numFmtId="166" fontId="8" fillId="5" borderId="0" xfId="0" applyNumberFormat="1" applyFont="1" applyFill="1"/>
    <xf numFmtId="166" fontId="8" fillId="5" borderId="16" xfId="0" applyNumberFormat="1" applyFont="1" applyFill="1" applyBorder="1"/>
    <xf numFmtId="166" fontId="8" fillId="5" borderId="15" xfId="0" applyNumberFormat="1" applyFont="1" applyFill="1" applyBorder="1"/>
    <xf numFmtId="167" fontId="10" fillId="5" borderId="5" xfId="0" applyNumberFormat="1" applyFont="1" applyFill="1" applyBorder="1"/>
    <xf numFmtId="0" fontId="10" fillId="5" borderId="5" xfId="0" applyFont="1" applyFill="1" applyBorder="1"/>
    <xf numFmtId="0" fontId="0" fillId="5" borderId="5" xfId="0" applyFill="1" applyBorder="1"/>
    <xf numFmtId="0" fontId="9" fillId="5" borderId="41" xfId="0" applyFont="1" applyFill="1" applyBorder="1"/>
    <xf numFmtId="0" fontId="9" fillId="5" borderId="20" xfId="0" applyFont="1" applyFill="1" applyBorder="1"/>
    <xf numFmtId="0" fontId="9" fillId="5" borderId="3" xfId="0" applyFont="1" applyFill="1" applyBorder="1"/>
    <xf numFmtId="0" fontId="9" fillId="5" borderId="2" xfId="0" applyFont="1" applyFill="1" applyBorder="1"/>
    <xf numFmtId="167" fontId="10" fillId="5" borderId="16" xfId="0" applyNumberFormat="1" applyFont="1" applyFill="1" applyBorder="1"/>
    <xf numFmtId="1" fontId="10" fillId="5" borderId="5" xfId="0" applyNumberFormat="1" applyFont="1" applyFill="1" applyBorder="1"/>
    <xf numFmtId="1" fontId="10" fillId="5" borderId="0" xfId="0" applyNumberFormat="1" applyFont="1" applyFill="1"/>
    <xf numFmtId="0" fontId="12" fillId="5" borderId="0" xfId="0" applyFont="1" applyFill="1"/>
    <xf numFmtId="167" fontId="10" fillId="5" borderId="0" xfId="5" applyNumberFormat="1" applyFont="1" applyFill="1"/>
    <xf numFmtId="167" fontId="10" fillId="5" borderId="15" xfId="5" applyNumberFormat="1" applyFont="1" applyFill="1" applyBorder="1"/>
    <xf numFmtId="167" fontId="0" fillId="5" borderId="0" xfId="0" applyNumberFormat="1" applyFill="1"/>
    <xf numFmtId="167" fontId="0" fillId="0" borderId="0" xfId="0" applyNumberFormat="1"/>
    <xf numFmtId="168" fontId="3" fillId="0" borderId="0" xfId="0" applyNumberFormat="1" applyFont="1"/>
    <xf numFmtId="166" fontId="10" fillId="0" borderId="15" xfId="0" applyNumberFormat="1" applyFont="1" applyBorder="1"/>
    <xf numFmtId="166" fontId="10" fillId="5" borderId="15" xfId="0" applyNumberFormat="1" applyFont="1" applyFill="1" applyBorder="1"/>
    <xf numFmtId="167" fontId="0" fillId="0" borderId="5" xfId="0" applyNumberFormat="1" applyBorder="1"/>
    <xf numFmtId="167" fontId="10" fillId="0" borderId="40" xfId="0" applyNumberFormat="1" applyFont="1" applyBorder="1"/>
    <xf numFmtId="0" fontId="4" fillId="0" borderId="0" xfId="0" applyFont="1" applyAlignment="1">
      <alignment horizontal="left"/>
    </xf>
    <xf numFmtId="0" fontId="4" fillId="0" borderId="42" xfId="0" applyFont="1" applyBorder="1"/>
    <xf numFmtId="167" fontId="9" fillId="0" borderId="42" xfId="0" applyNumberFormat="1" applyFont="1" applyBorder="1"/>
    <xf numFmtId="0" fontId="4" fillId="0" borderId="20" xfId="0" applyFont="1" applyBorder="1"/>
    <xf numFmtId="167" fontId="9" fillId="0" borderId="20" xfId="0" applyNumberFormat="1" applyFont="1" applyBorder="1"/>
    <xf numFmtId="167" fontId="9" fillId="5" borderId="20" xfId="0" applyNumberFormat="1" applyFont="1" applyFill="1" applyBorder="1"/>
    <xf numFmtId="167" fontId="31" fillId="0" borderId="42" xfId="0" applyNumberFormat="1" applyFont="1" applyBorder="1"/>
    <xf numFmtId="167" fontId="31" fillId="5" borderId="42" xfId="0" applyNumberFormat="1" applyFont="1" applyFill="1" applyBorder="1"/>
    <xf numFmtId="0" fontId="3" fillId="0" borderId="42" xfId="0" applyFont="1" applyBorder="1"/>
    <xf numFmtId="167" fontId="10" fillId="0" borderId="43" xfId="0" applyNumberFormat="1" applyFont="1" applyBorder="1"/>
    <xf numFmtId="167" fontId="10" fillId="5" borderId="42" xfId="0" applyNumberFormat="1" applyFont="1" applyFill="1" applyBorder="1"/>
    <xf numFmtId="167" fontId="10" fillId="0" borderId="42" xfId="0" applyNumberFormat="1" applyFont="1" applyBorder="1"/>
    <xf numFmtId="167" fontId="10" fillId="0" borderId="44" xfId="0" applyNumberFormat="1" applyFont="1" applyBorder="1"/>
    <xf numFmtId="168" fontId="9" fillId="0" borderId="0" xfId="0" applyNumberFormat="1" applyFont="1"/>
    <xf numFmtId="167" fontId="10" fillId="5" borderId="4" xfId="0" applyNumberFormat="1" applyFont="1" applyFill="1" applyBorder="1"/>
    <xf numFmtId="167" fontId="10" fillId="5" borderId="17" xfId="0" applyNumberFormat="1" applyFont="1" applyFill="1" applyBorder="1"/>
    <xf numFmtId="167" fontId="9" fillId="5" borderId="4" xfId="0" applyNumberFormat="1" applyFont="1" applyFill="1" applyBorder="1"/>
    <xf numFmtId="167" fontId="10" fillId="0" borderId="4" xfId="0" applyNumberFormat="1" applyFont="1" applyBorder="1"/>
    <xf numFmtId="167" fontId="9" fillId="0" borderId="46" xfId="0" applyNumberFormat="1" applyFont="1" applyBorder="1"/>
    <xf numFmtId="167" fontId="9" fillId="0" borderId="4" xfId="0" applyNumberFormat="1" applyFont="1" applyBorder="1"/>
    <xf numFmtId="167" fontId="10" fillId="0" borderId="45" xfId="0" applyNumberFormat="1" applyFont="1" applyBorder="1"/>
    <xf numFmtId="167" fontId="31" fillId="0" borderId="45" xfId="0" applyNumberFormat="1" applyFont="1" applyBorder="1"/>
    <xf numFmtId="167" fontId="10" fillId="0" borderId="4" xfId="5" applyNumberFormat="1" applyFont="1" applyBorder="1"/>
    <xf numFmtId="167" fontId="9" fillId="0" borderId="41" xfId="0" applyNumberFormat="1" applyFont="1" applyBorder="1"/>
    <xf numFmtId="167" fontId="31" fillId="0" borderId="44" xfId="0" applyNumberFormat="1" applyFont="1" applyBorder="1"/>
    <xf numFmtId="167" fontId="9" fillId="5" borderId="46" xfId="0" applyNumberFormat="1" applyFont="1" applyFill="1" applyBorder="1"/>
    <xf numFmtId="167" fontId="10" fillId="5" borderId="45" xfId="0" applyNumberFormat="1" applyFont="1" applyFill="1" applyBorder="1"/>
    <xf numFmtId="167" fontId="31" fillId="5" borderId="45" xfId="0" applyNumberFormat="1" applyFont="1" applyFill="1" applyBorder="1"/>
    <xf numFmtId="164" fontId="32" fillId="0" borderId="0" xfId="3" applyNumberFormat="1" applyFont="1" applyFill="1" applyBorder="1"/>
    <xf numFmtId="166" fontId="0" fillId="0" borderId="0" xfId="0" applyNumberFormat="1"/>
    <xf numFmtId="0" fontId="11" fillId="0" borderId="14" xfId="0" applyFont="1" applyBorder="1" applyAlignment="1">
      <alignment horizontal="left"/>
    </xf>
    <xf numFmtId="0" fontId="0" fillId="0" borderId="0" xfId="0" applyAlignment="1">
      <alignment horizontal="left"/>
    </xf>
    <xf numFmtId="168" fontId="1" fillId="0" borderId="5" xfId="0" applyNumberFormat="1" applyFont="1" applyBorder="1"/>
    <xf numFmtId="168" fontId="1" fillId="5" borderId="0" xfId="0" applyNumberFormat="1" applyFont="1" applyFill="1"/>
    <xf numFmtId="168" fontId="33" fillId="5" borderId="0" xfId="0" applyNumberFormat="1" applyFont="1" applyFill="1"/>
    <xf numFmtId="168" fontId="33" fillId="0" borderId="0" xfId="0" applyNumberFormat="1" applyFont="1"/>
    <xf numFmtId="168" fontId="12" fillId="5" borderId="0" xfId="0" applyNumberFormat="1" applyFont="1" applyFill="1"/>
    <xf numFmtId="168" fontId="33" fillId="0" borderId="4" xfId="0" applyNumberFormat="1" applyFont="1" applyBorder="1"/>
    <xf numFmtId="168" fontId="5" fillId="5" borderId="0" xfId="0" applyNumberFormat="1" applyFont="1" applyFill="1"/>
    <xf numFmtId="168" fontId="34" fillId="5" borderId="0" xfId="0" applyNumberFormat="1" applyFont="1" applyFill="1"/>
    <xf numFmtId="168" fontId="5" fillId="0" borderId="0" xfId="0" applyNumberFormat="1" applyFont="1"/>
    <xf numFmtId="168" fontId="1" fillId="0" borderId="0" xfId="0" applyNumberFormat="1" applyFont="1"/>
    <xf numFmtId="167" fontId="1" fillId="5" borderId="0" xfId="0" applyNumberFormat="1" applyFont="1" applyFill="1"/>
    <xf numFmtId="167" fontId="33" fillId="5" borderId="0" xfId="0" applyNumberFormat="1" applyFont="1" applyFill="1"/>
    <xf numFmtId="167" fontId="12" fillId="5" borderId="0" xfId="0" applyNumberFormat="1" applyFont="1" applyFill="1"/>
    <xf numFmtId="0" fontId="33" fillId="0" borderId="0" xfId="0" applyFont="1"/>
    <xf numFmtId="0" fontId="33" fillId="5" borderId="0" xfId="0" applyFont="1" applyFill="1"/>
    <xf numFmtId="0" fontId="1" fillId="5" borderId="0" xfId="0" applyFont="1" applyFill="1"/>
    <xf numFmtId="167" fontId="33" fillId="0" borderId="0" xfId="0" applyNumberFormat="1" applyFont="1"/>
    <xf numFmtId="0" fontId="1" fillId="0" borderId="0" xfId="0" applyFont="1"/>
    <xf numFmtId="168" fontId="31" fillId="5" borderId="0" xfId="0" applyNumberFormat="1" applyFont="1" applyFill="1"/>
    <xf numFmtId="0" fontId="12" fillId="0" borderId="0" xfId="0" applyFont="1"/>
    <xf numFmtId="167" fontId="12" fillId="0" borderId="0" xfId="0" applyNumberFormat="1" applyFont="1"/>
    <xf numFmtId="167" fontId="33" fillId="0" borderId="0" xfId="5" applyNumberFormat="1" applyFont="1" applyFill="1"/>
    <xf numFmtId="167" fontId="33" fillId="5" borderId="0" xfId="5" applyNumberFormat="1" applyFont="1" applyFill="1"/>
    <xf numFmtId="167" fontId="1" fillId="0" borderId="0" xfId="0" applyNumberFormat="1" applyFont="1"/>
    <xf numFmtId="167" fontId="1" fillId="0" borderId="4" xfId="0" applyNumberFormat="1" applyFont="1" applyBorder="1"/>
    <xf numFmtId="167" fontId="1" fillId="5" borderId="4" xfId="0" applyNumberFormat="1" applyFont="1" applyFill="1" applyBorder="1"/>
    <xf numFmtId="167" fontId="1" fillId="0" borderId="5" xfId="0" applyNumberFormat="1" applyFont="1" applyBorder="1"/>
    <xf numFmtId="167" fontId="1" fillId="5" borderId="0" xfId="5" applyNumberFormat="1" applyFont="1" applyFill="1"/>
    <xf numFmtId="1" fontId="10" fillId="0" borderId="5" xfId="5" applyNumberFormat="1" applyFont="1" applyBorder="1"/>
    <xf numFmtId="1" fontId="10" fillId="5" borderId="0" xfId="5" applyNumberFormat="1" applyFont="1" applyFill="1"/>
    <xf numFmtId="1" fontId="10" fillId="0" borderId="0" xfId="5" applyNumberFormat="1" applyFont="1"/>
    <xf numFmtId="1" fontId="11" fillId="0" borderId="0" xfId="0" applyNumberFormat="1" applyFont="1"/>
    <xf numFmtId="1" fontId="0" fillId="0" borderId="0" xfId="0" applyNumberFormat="1"/>
    <xf numFmtId="165" fontId="9" fillId="0" borderId="9" xfId="0" applyNumberFormat="1" applyFont="1" applyBorder="1"/>
    <xf numFmtId="0" fontId="29" fillId="0" borderId="14" xfId="0" applyFont="1" applyBorder="1" applyAlignment="1">
      <alignment horizontal="left"/>
    </xf>
    <xf numFmtId="167" fontId="10" fillId="0" borderId="0" xfId="5" applyNumberFormat="1" applyFont="1" applyBorder="1"/>
    <xf numFmtId="0" fontId="35" fillId="0" borderId="0" xfId="0" applyFont="1"/>
    <xf numFmtId="44" fontId="0" fillId="0" borderId="5" xfId="5" applyFont="1" applyBorder="1"/>
    <xf numFmtId="44" fontId="0" fillId="5" borderId="0" xfId="5" applyFont="1" applyFill="1"/>
    <xf numFmtId="44" fontId="0" fillId="0" borderId="0" xfId="5" applyFont="1"/>
    <xf numFmtId="44" fontId="10" fillId="0" borderId="0" xfId="5" applyFont="1"/>
    <xf numFmtId="44" fontId="0" fillId="5" borderId="5" xfId="5" applyFont="1" applyFill="1" applyBorder="1"/>
    <xf numFmtId="44" fontId="10" fillId="0" borderId="5" xfId="5" applyFont="1" applyBorder="1"/>
    <xf numFmtId="44" fontId="10" fillId="5" borderId="0" xfId="5" applyFont="1" applyFill="1"/>
    <xf numFmtId="166" fontId="10" fillId="0" borderId="0" xfId="5" applyNumberFormat="1" applyFont="1"/>
    <xf numFmtId="9" fontId="10" fillId="5" borderId="0" xfId="0" applyNumberFormat="1" applyFont="1" applyFill="1"/>
    <xf numFmtId="9" fontId="0" fillId="5" borderId="0" xfId="0" applyNumberFormat="1" applyFill="1"/>
    <xf numFmtId="3" fontId="10" fillId="5" borderId="0" xfId="0" applyNumberFormat="1" applyFont="1" applyFill="1"/>
    <xf numFmtId="0" fontId="13" fillId="0" borderId="0" xfId="0" applyFont="1"/>
    <xf numFmtId="0" fontId="8" fillId="0" borderId="12" xfId="0" applyFont="1" applyBorder="1"/>
    <xf numFmtId="167" fontId="10" fillId="0" borderId="28" xfId="0" applyNumberFormat="1" applyFont="1" applyBorder="1"/>
    <xf numFmtId="166" fontId="10" fillId="0" borderId="28" xfId="0" applyNumberFormat="1" applyFont="1" applyBorder="1"/>
    <xf numFmtId="166" fontId="8" fillId="0" borderId="28" xfId="0" applyNumberFormat="1" applyFont="1" applyBorder="1"/>
    <xf numFmtId="0" fontId="29" fillId="0" borderId="0" xfId="0" applyFont="1" applyAlignment="1">
      <alignment horizontal="left"/>
    </xf>
    <xf numFmtId="0" fontId="28" fillId="0" borderId="47" xfId="0" applyFont="1" applyBorder="1"/>
    <xf numFmtId="167" fontId="8" fillId="0" borderId="48" xfId="0" applyNumberFormat="1" applyFont="1" applyBorder="1"/>
    <xf numFmtId="167" fontId="10" fillId="0" borderId="28" xfId="5" applyNumberFormat="1" applyFont="1" applyBorder="1"/>
    <xf numFmtId="167" fontId="9" fillId="0" borderId="49" xfId="0" applyNumberFormat="1" applyFont="1" applyBorder="1"/>
    <xf numFmtId="167" fontId="9" fillId="0" borderId="50" xfId="0" applyNumberFormat="1" applyFont="1" applyBorder="1"/>
    <xf numFmtId="167" fontId="9" fillId="0" borderId="28" xfId="0" applyNumberFormat="1" applyFont="1" applyBorder="1"/>
    <xf numFmtId="167" fontId="31" fillId="0" borderId="49" xfId="0" applyNumberFormat="1" applyFont="1" applyBorder="1"/>
    <xf numFmtId="168" fontId="9" fillId="0" borderId="28" xfId="0" applyNumberFormat="1" applyFont="1" applyBorder="1"/>
    <xf numFmtId="168" fontId="3" fillId="0" borderId="28" xfId="0" applyNumberFormat="1" applyFont="1" applyBorder="1"/>
    <xf numFmtId="168" fontId="5" fillId="0" borderId="28" xfId="0" applyNumberFormat="1" applyFont="1" applyBorder="1"/>
    <xf numFmtId="0" fontId="7" fillId="0" borderId="28" xfId="0" applyFont="1" applyBorder="1"/>
    <xf numFmtId="0" fontId="0" fillId="0" borderId="0" xfId="0" applyAlignment="1">
      <alignment wrapText="1"/>
    </xf>
    <xf numFmtId="167" fontId="33" fillId="0" borderId="0" xfId="5" applyNumberFormat="1" applyFont="1" applyFill="1" applyBorder="1"/>
    <xf numFmtId="0" fontId="42" fillId="5" borderId="51" xfId="0" applyFont="1" applyFill="1" applyBorder="1"/>
    <xf numFmtId="0" fontId="0" fillId="5" borderId="52" xfId="0" applyFill="1" applyBorder="1"/>
    <xf numFmtId="0" fontId="0" fillId="5" borderId="53" xfId="0" applyFill="1" applyBorder="1"/>
    <xf numFmtId="0" fontId="29" fillId="5" borderId="56" xfId="0" applyFont="1" applyFill="1" applyBorder="1" applyAlignment="1">
      <alignment vertical="center" wrapText="1"/>
    </xf>
    <xf numFmtId="0" fontId="44" fillId="5" borderId="55" xfId="0" applyFont="1" applyFill="1" applyBorder="1" applyAlignment="1">
      <alignment horizontal="left" vertical="center" wrapText="1"/>
    </xf>
    <xf numFmtId="0" fontId="44" fillId="5" borderId="54" xfId="0" applyFont="1" applyFill="1" applyBorder="1" applyAlignment="1">
      <alignment horizontal="left" vertical="center" wrapText="1"/>
    </xf>
    <xf numFmtId="0" fontId="44" fillId="5" borderId="57" xfId="0" applyFont="1" applyFill="1" applyBorder="1" applyAlignment="1">
      <alignment horizontal="left" vertical="center" wrapText="1"/>
    </xf>
    <xf numFmtId="0" fontId="47" fillId="5" borderId="54" xfId="0" applyFont="1" applyFill="1" applyBorder="1" applyAlignment="1">
      <alignment horizontal="right" wrapText="1"/>
    </xf>
    <xf numFmtId="0" fontId="42" fillId="0" borderId="0" xfId="0" applyFont="1"/>
    <xf numFmtId="0" fontId="42" fillId="0" borderId="58" xfId="0" applyFont="1" applyBorder="1"/>
    <xf numFmtId="0" fontId="39" fillId="0" borderId="58" xfId="0" applyFont="1" applyBorder="1"/>
    <xf numFmtId="0" fontId="39" fillId="0" borderId="59" xfId="0" applyFont="1" applyBorder="1"/>
    <xf numFmtId="0" fontId="39" fillId="0" borderId="0" xfId="0" applyFont="1"/>
    <xf numFmtId="0" fontId="7" fillId="0" borderId="56" xfId="0" applyFont="1" applyBorder="1"/>
    <xf numFmtId="0" fontId="40" fillId="0" borderId="0" xfId="0" applyFont="1"/>
    <xf numFmtId="0" fontId="41" fillId="0" borderId="0" xfId="0" applyFont="1"/>
    <xf numFmtId="0" fontId="41" fillId="0" borderId="56" xfId="0" applyFont="1" applyBorder="1"/>
    <xf numFmtId="0" fontId="37" fillId="0" borderId="0" xfId="0" applyFont="1"/>
    <xf numFmtId="0" fontId="8" fillId="0" borderId="0" xfId="0" applyFont="1"/>
    <xf numFmtId="0" fontId="28" fillId="0" borderId="0" xfId="0" applyFont="1"/>
    <xf numFmtId="0" fontId="28" fillId="0" borderId="56" xfId="0" applyFont="1" applyBorder="1"/>
    <xf numFmtId="0" fontId="38" fillId="0" borderId="0" xfId="0" applyFont="1"/>
    <xf numFmtId="0" fontId="48" fillId="0" borderId="0" xfId="0" applyFont="1" applyAlignment="1">
      <alignment horizontal="left"/>
    </xf>
    <xf numFmtId="0" fontId="10" fillId="0" borderId="56" xfId="0" applyFont="1" applyBorder="1"/>
    <xf numFmtId="166" fontId="8" fillId="0" borderId="56" xfId="0" applyNumberFormat="1" applyFont="1" applyBorder="1"/>
    <xf numFmtId="167" fontId="10" fillId="0" borderId="56" xfId="0" applyNumberFormat="1" applyFont="1" applyBorder="1"/>
    <xf numFmtId="9" fontId="10" fillId="0" borderId="0" xfId="0" applyNumberFormat="1" applyFont="1"/>
    <xf numFmtId="9" fontId="10" fillId="0" borderId="56" xfId="0" applyNumberFormat="1" applyFont="1" applyBorder="1"/>
    <xf numFmtId="0" fontId="49" fillId="0" borderId="0" xfId="0" applyFont="1"/>
    <xf numFmtId="167" fontId="8" fillId="0" borderId="56" xfId="0" applyNumberFormat="1" applyFont="1" applyBorder="1"/>
    <xf numFmtId="1" fontId="10" fillId="0" borderId="56" xfId="0" applyNumberFormat="1" applyFont="1" applyBorder="1"/>
    <xf numFmtId="0" fontId="50" fillId="0" borderId="0" xfId="0" applyFont="1"/>
    <xf numFmtId="0" fontId="0" fillId="0" borderId="56" xfId="0" applyBorder="1"/>
    <xf numFmtId="0" fontId="43" fillId="0" borderId="0" xfId="0" applyFont="1" applyAlignment="1">
      <alignment horizontal="left"/>
    </xf>
    <xf numFmtId="166" fontId="0" fillId="0" borderId="0" xfId="5" applyNumberFormat="1" applyFont="1" applyFill="1" applyBorder="1"/>
    <xf numFmtId="166" fontId="0" fillId="0" borderId="56" xfId="5" applyNumberFormat="1" applyFont="1" applyFill="1" applyBorder="1"/>
    <xf numFmtId="0" fontId="51" fillId="0" borderId="0" xfId="0" applyFont="1" applyAlignment="1">
      <alignment horizontal="left"/>
    </xf>
    <xf numFmtId="166" fontId="10" fillId="0" borderId="56" xfId="0" applyNumberFormat="1" applyFont="1" applyBorder="1"/>
    <xf numFmtId="167" fontId="49" fillId="0" borderId="0" xfId="0" applyNumberFormat="1" applyFont="1"/>
    <xf numFmtId="166" fontId="10" fillId="0" borderId="0" xfId="5" applyNumberFormat="1" applyFont="1" applyFill="1" applyBorder="1"/>
    <xf numFmtId="0" fontId="51" fillId="0" borderId="0" xfId="0" applyFont="1"/>
    <xf numFmtId="10" fontId="9" fillId="0" borderId="0" xfId="0" applyNumberFormat="1" applyFont="1"/>
    <xf numFmtId="10" fontId="9" fillId="0" borderId="56" xfId="0" applyNumberFormat="1" applyFont="1" applyBorder="1"/>
    <xf numFmtId="166" fontId="10" fillId="0" borderId="56" xfId="5" applyNumberFormat="1" applyFont="1" applyFill="1" applyBorder="1"/>
    <xf numFmtId="0" fontId="52" fillId="0" borderId="58" xfId="0" applyFont="1" applyBorder="1"/>
    <xf numFmtId="0" fontId="53" fillId="0" borderId="0" xfId="0" applyFont="1"/>
    <xf numFmtId="0" fontId="54" fillId="0" borderId="0" xfId="0" applyFont="1"/>
    <xf numFmtId="168" fontId="5" fillId="0" borderId="56" xfId="0" applyNumberFormat="1" applyFont="1" applyBorder="1"/>
    <xf numFmtId="0" fontId="33" fillId="0" borderId="56" xfId="0" applyFont="1" applyBorder="1"/>
    <xf numFmtId="0" fontId="12" fillId="0" borderId="56" xfId="0" applyFont="1" applyBorder="1"/>
    <xf numFmtId="167" fontId="33" fillId="0" borderId="56" xfId="0" applyNumberFormat="1" applyFont="1" applyBorder="1"/>
    <xf numFmtId="166" fontId="0" fillId="0" borderId="56" xfId="0" applyNumberFormat="1" applyBorder="1"/>
    <xf numFmtId="0" fontId="39" fillId="0" borderId="60" xfId="0" applyFont="1" applyBorder="1"/>
    <xf numFmtId="0" fontId="7" fillId="0" borderId="61" xfId="0" applyFont="1" applyBorder="1"/>
    <xf numFmtId="0" fontId="41" fillId="0" borderId="61" xfId="0" applyFont="1" applyBorder="1"/>
    <xf numFmtId="0" fontId="28" fillId="0" borderId="61" xfId="0" applyFont="1" applyBorder="1"/>
    <xf numFmtId="0" fontId="10" fillId="0" borderId="61" xfId="0" applyFont="1" applyBorder="1"/>
    <xf numFmtId="166" fontId="8" fillId="0" borderId="61" xfId="0" applyNumberFormat="1" applyFont="1" applyBorder="1"/>
    <xf numFmtId="167" fontId="10" fillId="0" borderId="61" xfId="0" applyNumberFormat="1" applyFont="1" applyBorder="1"/>
    <xf numFmtId="9" fontId="10" fillId="0" borderId="61" xfId="0" applyNumberFormat="1" applyFont="1" applyBorder="1"/>
    <xf numFmtId="167" fontId="8" fillId="0" borderId="61" xfId="0" applyNumberFormat="1" applyFont="1" applyBorder="1"/>
    <xf numFmtId="1" fontId="10" fillId="0" borderId="61" xfId="0" applyNumberFormat="1" applyFont="1" applyBorder="1"/>
    <xf numFmtId="0" fontId="0" fillId="0" borderId="61" xfId="0" applyBorder="1"/>
    <xf numFmtId="166" fontId="0" fillId="0" borderId="61" xfId="5" applyNumberFormat="1" applyFont="1" applyFill="1" applyBorder="1"/>
    <xf numFmtId="166" fontId="10" fillId="0" borderId="61" xfId="0" applyNumberFormat="1" applyFont="1" applyBorder="1"/>
    <xf numFmtId="166" fontId="10" fillId="0" borderId="61" xfId="5" applyNumberFormat="1" applyFont="1" applyFill="1" applyBorder="1"/>
    <xf numFmtId="10" fontId="9" fillId="0" borderId="61" xfId="0" applyNumberFormat="1" applyFont="1" applyBorder="1"/>
    <xf numFmtId="168" fontId="1" fillId="0" borderId="61" xfId="0" applyNumberFormat="1" applyFont="1" applyBorder="1"/>
    <xf numFmtId="166" fontId="0" fillId="0" borderId="61" xfId="0" applyNumberFormat="1" applyBorder="1"/>
    <xf numFmtId="0" fontId="39" fillId="0" borderId="62" xfId="0" applyFont="1" applyBorder="1"/>
    <xf numFmtId="0" fontId="39" fillId="0" borderId="5" xfId="0" applyFont="1" applyBorder="1"/>
    <xf numFmtId="0" fontId="41" fillId="0" borderId="5" xfId="0" applyFont="1" applyBorder="1"/>
    <xf numFmtId="0" fontId="28" fillId="0" borderId="5" xfId="0" applyFont="1" applyBorder="1"/>
    <xf numFmtId="9" fontId="10" fillId="0" borderId="5" xfId="0" applyNumberFormat="1" applyFont="1" applyBorder="1"/>
    <xf numFmtId="166" fontId="0" fillId="0" borderId="5" xfId="5" applyNumberFormat="1" applyFont="1" applyFill="1" applyBorder="1"/>
    <xf numFmtId="166" fontId="10" fillId="0" borderId="5" xfId="5" applyNumberFormat="1" applyFont="1" applyFill="1" applyBorder="1"/>
    <xf numFmtId="10" fontId="9" fillId="0" borderId="5" xfId="0" applyNumberFormat="1" applyFont="1" applyBorder="1"/>
    <xf numFmtId="168" fontId="5" fillId="0" borderId="5" xfId="0" applyNumberFormat="1" applyFont="1" applyBorder="1"/>
    <xf numFmtId="0" fontId="1" fillId="0" borderId="5" xfId="0" applyFont="1" applyBorder="1"/>
    <xf numFmtId="166" fontId="0" fillId="0" borderId="5" xfId="0" applyNumberFormat="1" applyBorder="1"/>
    <xf numFmtId="0" fontId="11" fillId="5" borderId="63" xfId="0" applyFont="1" applyFill="1" applyBorder="1" applyAlignment="1">
      <alignment horizontal="left"/>
    </xf>
    <xf numFmtId="0" fontId="0" fillId="7" borderId="0" xfId="0" applyFill="1"/>
    <xf numFmtId="0" fontId="4" fillId="7" borderId="0" xfId="0" applyFont="1" applyFill="1"/>
    <xf numFmtId="0" fontId="51" fillId="7" borderId="0" xfId="0" applyFont="1" applyFill="1"/>
    <xf numFmtId="10" fontId="9" fillId="7" borderId="61" xfId="0" applyNumberFormat="1" applyFont="1" applyFill="1" applyBorder="1"/>
    <xf numFmtId="10" fontId="9" fillId="7" borderId="0" xfId="0" applyNumberFormat="1" applyFont="1" applyFill="1"/>
    <xf numFmtId="10" fontId="9" fillId="7" borderId="56" xfId="0" applyNumberFormat="1" applyFont="1" applyFill="1" applyBorder="1"/>
    <xf numFmtId="10" fontId="9" fillId="7" borderId="5" xfId="0" applyNumberFormat="1" applyFont="1" applyFill="1" applyBorder="1"/>
    <xf numFmtId="0" fontId="48" fillId="0" borderId="0" xfId="0" applyFont="1"/>
    <xf numFmtId="167" fontId="49" fillId="0" borderId="28" xfId="5" applyNumberFormat="1" applyFont="1" applyBorder="1"/>
    <xf numFmtId="167" fontId="49" fillId="0" borderId="5" xfId="5" applyNumberFormat="1" applyFont="1" applyBorder="1"/>
    <xf numFmtId="167" fontId="49" fillId="0" borderId="0" xfId="5" applyNumberFormat="1" applyFont="1" applyBorder="1"/>
    <xf numFmtId="167" fontId="10" fillId="0" borderId="49" xfId="0" applyNumberFormat="1" applyFont="1" applyBorder="1"/>
    <xf numFmtId="2" fontId="10" fillId="0" borderId="61" xfId="0" applyNumberFormat="1" applyFont="1" applyBorder="1"/>
    <xf numFmtId="2" fontId="10" fillId="0" borderId="0" xfId="0" applyNumberFormat="1" applyFont="1"/>
    <xf numFmtId="2" fontId="10" fillId="0" borderId="56" xfId="0" applyNumberFormat="1" applyFont="1" applyBorder="1"/>
    <xf numFmtId="166" fontId="55" fillId="0" borderId="61" xfId="0" applyNumberFormat="1" applyFont="1" applyBorder="1"/>
    <xf numFmtId="43" fontId="3" fillId="0" borderId="0" xfId="2" applyFont="1"/>
  </cellXfs>
  <cellStyles count="6">
    <cellStyle name="Comma" xfId="1" builtinId="3"/>
    <cellStyle name="Comma 2" xfId="2" xr:uid="{00000000-0005-0000-0000-000003000000}"/>
    <cellStyle name="Comma 3" xfId="3" xr:uid="{01CAFFDE-1D44-481A-A63A-B86950F95858}"/>
    <cellStyle name="Currency" xfId="5" builtinId="4"/>
    <cellStyle name="Normal" xfId="0" builtinId="0"/>
    <cellStyle name="Normal 2" xfId="4" xr:uid="{124C2C7C-4F02-48DB-A57F-0212FC6BE978}"/>
  </cellStyles>
  <dxfs count="88">
    <dxf>
      <font>
        <strike val="0"/>
        <color theme="7"/>
      </font>
    </dxf>
    <dxf>
      <font>
        <b/>
        <i val="0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rgb="FFFF8A00"/>
      </font>
    </dxf>
    <dxf>
      <font>
        <b/>
        <i val="0"/>
      </font>
    </dxf>
    <dxf>
      <font>
        <strike val="0"/>
        <color rgb="FFFF8A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theme="7"/>
      </font>
    </dxf>
    <dxf>
      <font>
        <b/>
        <i val="0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rgb="FFFF8A0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b/>
        <i val="0"/>
      </font>
    </dxf>
    <dxf>
      <font>
        <strike val="0"/>
        <color theme="7"/>
      </font>
    </dxf>
    <dxf>
      <font>
        <b/>
        <i val="0"/>
      </font>
    </dxf>
    <dxf>
      <font>
        <strike val="0"/>
        <color rgb="FFFF8A00"/>
      </font>
    </dxf>
  </dxfs>
  <tableStyles count="0" defaultTableStyle="TableStyleMedium2" defaultPivotStyle="PivotStyleLight16"/>
  <colors>
    <mruColors>
      <color rgb="FFFF8A00"/>
      <color rgb="FF2C7C30"/>
      <color rgb="FFB5E5B7"/>
      <color rgb="FFFF6161"/>
      <color rgb="FFFFC175"/>
      <color rgb="FF3FB3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Cash balance development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'Resulting Overall Profits'!$B$21</c:f>
              <c:strCache>
                <c:ptCount val="1"/>
                <c:pt idx="0">
                  <c:v>Free Cash Flow (FCF)</c:v>
                </c:pt>
              </c:strCache>
            </c:strRef>
          </c:tx>
          <c:spPr>
            <a:ln w="28575" cap="rnd">
              <a:solidFill>
                <a:srgbClr val="2C7C3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Profits'!$C$21:$AD$21</c:f>
              <c:numCache>
                <c:formatCode>_([$$-409]* #,##0_);_([$$-409]* \(#,##0\);_([$$-409]* "-"??_);_(@_)</c:formatCode>
                <c:ptCount val="28"/>
                <c:pt idx="1">
                  <c:v>-916242.23938223906</c:v>
                </c:pt>
                <c:pt idx="2">
                  <c:v>-2883966.764478764</c:v>
                </c:pt>
                <c:pt idx="3">
                  <c:v>-3323720.1930501931</c:v>
                </c:pt>
                <c:pt idx="4">
                  <c:v>-20272646.035867114</c:v>
                </c:pt>
                <c:pt idx="5">
                  <c:v>-8490931.4027871601</c:v>
                </c:pt>
                <c:pt idx="6">
                  <c:v>-12919415.591295049</c:v>
                </c:pt>
                <c:pt idx="7">
                  <c:v>-11429643.135003759</c:v>
                </c:pt>
                <c:pt idx="8">
                  <c:v>-8371206.2439725362</c:v>
                </c:pt>
                <c:pt idx="9">
                  <c:v>630254.56527254358</c:v>
                </c:pt>
                <c:pt idx="10">
                  <c:v>27881096.405761778</c:v>
                </c:pt>
                <c:pt idx="11">
                  <c:v>53089311.712774217</c:v>
                </c:pt>
                <c:pt idx="12">
                  <c:v>102097197.65281412</c:v>
                </c:pt>
                <c:pt idx="13">
                  <c:v>155735661.86464262</c:v>
                </c:pt>
                <c:pt idx="14">
                  <c:v>199202611.03247663</c:v>
                </c:pt>
                <c:pt idx="15">
                  <c:v>248896603.20891213</c:v>
                </c:pt>
                <c:pt idx="16">
                  <c:v>307102791.95310968</c:v>
                </c:pt>
                <c:pt idx="17">
                  <c:v>374701279.74921441</c:v>
                </c:pt>
                <c:pt idx="18">
                  <c:v>451541837.6192708</c:v>
                </c:pt>
                <c:pt idx="19">
                  <c:v>533137818.59248328</c:v>
                </c:pt>
                <c:pt idx="20">
                  <c:v>620260671.69877446</c:v>
                </c:pt>
                <c:pt idx="21">
                  <c:v>671768883.4471674</c:v>
                </c:pt>
                <c:pt idx="22">
                  <c:v>765704636.59275711</c:v>
                </c:pt>
                <c:pt idx="23">
                  <c:v>866211076.39053917</c:v>
                </c:pt>
                <c:pt idx="24">
                  <c:v>973331563.10679126</c:v>
                </c:pt>
                <c:pt idx="25">
                  <c:v>1087555794.81937</c:v>
                </c:pt>
                <c:pt idx="26">
                  <c:v>1209377668.4939518</c:v>
                </c:pt>
                <c:pt idx="27">
                  <c:v>1338128453.6436186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F-4540-ABF0-9DBAF277CBC4}"/>
            </c:ext>
          </c:extLst>
        </c:ser>
        <c:ser>
          <c:idx val="1"/>
          <c:order val="1"/>
          <c:tx>
            <c:strRef>
              <c:f>'Resulting Overall Profits'!$B$22</c:f>
              <c:strCache>
                <c:ptCount val="1"/>
                <c:pt idx="0">
                  <c:v>Total Funding Received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Profits'!$C$22:$AD$22</c:f>
              <c:numCache>
                <c:formatCode>_([$$-409]* #,##0_);_([$$-409]* \(#,##0\);_([$$-409]* "-"??_);_(@_)</c:formatCode>
                <c:ptCount val="28"/>
                <c:pt idx="1">
                  <c:v>4746587.692307692</c:v>
                </c:pt>
                <c:pt idx="2">
                  <c:v>1206305.75</c:v>
                </c:pt>
                <c:pt idx="3">
                  <c:v>12952070</c:v>
                </c:pt>
                <c:pt idx="4">
                  <c:v>15000000</c:v>
                </c:pt>
                <c:pt idx="5">
                  <c:v>20000000</c:v>
                </c:pt>
                <c:pt idx="6">
                  <c:v>-453638.80786036979</c:v>
                </c:pt>
                <c:pt idx="7">
                  <c:v>-476320.74825338833</c:v>
                </c:pt>
                <c:pt idx="8">
                  <c:v>-500136.78566605772</c:v>
                </c:pt>
                <c:pt idx="9">
                  <c:v>-525143.62494936062</c:v>
                </c:pt>
                <c:pt idx="10">
                  <c:v>-551400.80619682861</c:v>
                </c:pt>
                <c:pt idx="11">
                  <c:v>-578970.84650667012</c:v>
                </c:pt>
                <c:pt idx="12">
                  <c:v>-607919.38883200358</c:v>
                </c:pt>
                <c:pt idx="13">
                  <c:v>-638315.35827360372</c:v>
                </c:pt>
                <c:pt idx="14">
                  <c:v>-670231.12618728389</c:v>
                </c:pt>
                <c:pt idx="15">
                  <c:v>-703742.68249664805</c:v>
                </c:pt>
                <c:pt idx="16">
                  <c:v>-738929.81662148051</c:v>
                </c:pt>
                <c:pt idx="17">
                  <c:v>-775876.30745255458</c:v>
                </c:pt>
                <c:pt idx="18">
                  <c:v>-814670.12282518228</c:v>
                </c:pt>
                <c:pt idx="19">
                  <c:v>-855403.62896644138</c:v>
                </c:pt>
                <c:pt idx="20">
                  <c:v>-898173.8104147634</c:v>
                </c:pt>
                <c:pt idx="21">
                  <c:v>-943082.50093550165</c:v>
                </c:pt>
                <c:pt idx="22">
                  <c:v>-990236.62598227663</c:v>
                </c:pt>
                <c:pt idx="23">
                  <c:v>-1039748.4572813904</c:v>
                </c:pt>
                <c:pt idx="24">
                  <c:v>-1091735.8801454601</c:v>
                </c:pt>
                <c:pt idx="25">
                  <c:v>-1146322.6741527331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F-4540-ABF0-9DBAF277CBC4}"/>
            </c:ext>
          </c:extLst>
        </c:ser>
        <c:ser>
          <c:idx val="2"/>
          <c:order val="2"/>
          <c:tx>
            <c:strRef>
              <c:f>'Resulting Overall Profits'!$B$23</c:f>
              <c:strCache>
                <c:ptCount val="1"/>
                <c:pt idx="0">
                  <c:v>Cash Balance (end of period)</c:v>
                </c:pt>
              </c:strCache>
            </c:strRef>
          </c:tx>
          <c:spPr>
            <a:ln w="28575" cap="rnd">
              <a:solidFill>
                <a:srgbClr val="FF8A0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Profits'!$C$23:$AD$23</c:f>
              <c:numCache>
                <c:formatCode>_([$$-409]* #,##0_);_([$$-409]* \(#,##0\);_([$$-409]* "-"??_);_(@_)</c:formatCode>
                <c:ptCount val="28"/>
                <c:pt idx="1">
                  <c:v>3830345.452925453</c:v>
                </c:pt>
                <c:pt idx="2">
                  <c:v>2152684.4384466889</c:v>
                </c:pt>
                <c:pt idx="3">
                  <c:v>11781034.245396495</c:v>
                </c:pt>
                <c:pt idx="4">
                  <c:v>6508388.2095293812</c:v>
                </c:pt>
                <c:pt idx="5">
                  <c:v>18017456.806742221</c:v>
                </c:pt>
                <c:pt idx="6">
                  <c:v>4644402.4075868027</c:v>
                </c:pt>
                <c:pt idx="7">
                  <c:v>-7261561.4756703442</c:v>
                </c:pt>
                <c:pt idx="8">
                  <c:v>-16132904.505308939</c:v>
                </c:pt>
                <c:pt idx="9">
                  <c:v>-16027793.564985756</c:v>
                </c:pt>
                <c:pt idx="10">
                  <c:v>11301902.034579193</c:v>
                </c:pt>
                <c:pt idx="11">
                  <c:v>63812242.900846742</c:v>
                </c:pt>
                <c:pt idx="12">
                  <c:v>165301521.16482887</c:v>
                </c:pt>
                <c:pt idx="13">
                  <c:v>320398867.67119789</c:v>
                </c:pt>
                <c:pt idx="14">
                  <c:v>518931247.57748729</c:v>
                </c:pt>
                <c:pt idx="15">
                  <c:v>767124108.1039027</c:v>
                </c:pt>
                <c:pt idx="16">
                  <c:v>1073487970.2403909</c:v>
                </c:pt>
                <c:pt idx="17">
                  <c:v>1447413373.682153</c:v>
                </c:pt>
                <c:pt idx="18">
                  <c:v>1898140541.1785986</c:v>
                </c:pt>
                <c:pt idx="19">
                  <c:v>2430422956.1421156</c:v>
                </c:pt>
                <c:pt idx="20">
                  <c:v>3049785454.0304751</c:v>
                </c:pt>
                <c:pt idx="21">
                  <c:v>3720611254.976707</c:v>
                </c:pt>
                <c:pt idx="22">
                  <c:v>4485325654.9434814</c:v>
                </c:pt>
                <c:pt idx="23">
                  <c:v>5350496982.8767395</c:v>
                </c:pt>
                <c:pt idx="24">
                  <c:v>6322736810.1033859</c:v>
                </c:pt>
                <c:pt idx="25">
                  <c:v>7409146282.2486038</c:v>
                </c:pt>
                <c:pt idx="26">
                  <c:v>8618523950.7425556</c:v>
                </c:pt>
                <c:pt idx="27">
                  <c:v>9956652404.3861732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F-4540-ABF0-9DBAF277C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503616"/>
        <c:axId val="534504096"/>
      </c:line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Operating profit and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'Resulting Overall Profits'!$B$20</c:f>
              <c:strCache>
                <c:ptCount val="1"/>
                <c:pt idx="0">
                  <c:v>Cash Flow from Operations </c:v>
                </c:pt>
              </c:strCache>
            </c:strRef>
          </c:tx>
          <c:spPr>
            <a:ln w="28575" cap="rnd">
              <a:solidFill>
                <a:srgbClr val="2C7C3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Profits'!$D$20:$AD$20</c:f>
              <c:numCache>
                <c:formatCode>_([$$-409]* #,##0_);_([$$-409]* \(#,##0\);_([$$-409]* "-"??_);_(@_)</c:formatCode>
                <c:ptCount val="27"/>
                <c:pt idx="0">
                  <c:v>-620242.23938223906</c:v>
                </c:pt>
                <c:pt idx="1">
                  <c:v>-2652916.764478764</c:v>
                </c:pt>
                <c:pt idx="2">
                  <c:v>-3307670.1930501931</c:v>
                </c:pt>
                <c:pt idx="3">
                  <c:v>-3277646.0358671136</c:v>
                </c:pt>
                <c:pt idx="4">
                  <c:v>-3990356.4027871601</c:v>
                </c:pt>
                <c:pt idx="5">
                  <c:v>-6086615.5912950486</c:v>
                </c:pt>
                <c:pt idx="6">
                  <c:v>20356.86499624094</c:v>
                </c:pt>
                <c:pt idx="7">
                  <c:v>9448793.7560274638</c:v>
                </c:pt>
                <c:pt idx="8">
                  <c:v>23625254.565272547</c:v>
                </c:pt>
                <c:pt idx="9">
                  <c:v>59909846.405761778</c:v>
                </c:pt>
                <c:pt idx="10">
                  <c:v>97502511.712774217</c:v>
                </c:pt>
                <c:pt idx="11">
                  <c:v>143685297.65281412</c:v>
                </c:pt>
                <c:pt idx="12">
                  <c:v>207770061.86464262</c:v>
                </c:pt>
                <c:pt idx="13">
                  <c:v>264245611.03247663</c:v>
                </c:pt>
                <c:pt idx="14">
                  <c:v>330101803.20891213</c:v>
                </c:pt>
                <c:pt idx="15">
                  <c:v>408609291.95310968</c:v>
                </c:pt>
                <c:pt idx="16">
                  <c:v>501633679.74921441</c:v>
                </c:pt>
                <c:pt idx="17">
                  <c:v>591088637.6192708</c:v>
                </c:pt>
                <c:pt idx="18">
                  <c:v>686678718.59248328</c:v>
                </c:pt>
                <c:pt idx="19">
                  <c:v>789175371.69877446</c:v>
                </c:pt>
                <c:pt idx="20">
                  <c:v>857437083.4471674</c:v>
                </c:pt>
                <c:pt idx="21">
                  <c:v>970097336.59275711</c:v>
                </c:pt>
                <c:pt idx="22">
                  <c:v>1090905076.3905392</c:v>
                </c:pt>
                <c:pt idx="23">
                  <c:v>1220494963.1067913</c:v>
                </c:pt>
                <c:pt idx="24">
                  <c:v>1359553794.81937</c:v>
                </c:pt>
                <c:pt idx="25">
                  <c:v>1508575468.4939518</c:v>
                </c:pt>
                <c:pt idx="26">
                  <c:v>1667285453.6436186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D-4606-86E7-A89BAE578FC6}"/>
            </c:ext>
          </c:extLst>
        </c:ser>
        <c:ser>
          <c:idx val="0"/>
          <c:order val="1"/>
          <c:tx>
            <c:strRef>
              <c:f>'Resulting Overall Profits'!$B$14</c:f>
              <c:strCache>
                <c:ptCount val="1"/>
                <c:pt idx="0">
                  <c:v>EBIT  (Profit or operating profit)</c:v>
                </c:pt>
              </c:strCache>
            </c:strRef>
          </c:tx>
          <c:spPr>
            <a:ln w="28575" cap="rnd">
              <a:solidFill>
                <a:srgbClr val="FF8A0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Profits'!$D$14:$AD$14</c:f>
              <c:numCache>
                <c:formatCode>_-[$$-409]* #,##0_ ;_-[$$-409]* \-#,##0\ ;_-[$$-409]* "-"??_ ;_-@_ </c:formatCode>
                <c:ptCount val="27"/>
                <c:pt idx="0">
                  <c:v>-649842.23938223906</c:v>
                </c:pt>
                <c:pt idx="1">
                  <c:v>-2705621.764478764</c:v>
                </c:pt>
                <c:pt idx="2">
                  <c:v>-3361980.1930501931</c:v>
                </c:pt>
                <c:pt idx="3">
                  <c:v>-4831956.0358671136</c:v>
                </c:pt>
                <c:pt idx="4">
                  <c:v>-5844416.4027871601</c:v>
                </c:pt>
                <c:pt idx="5">
                  <c:v>-7315704.3412950486</c:v>
                </c:pt>
                <c:pt idx="6">
                  <c:v>-1623053.8253967776</c:v>
                </c:pt>
                <c:pt idx="7">
                  <c:v>9037559.7222295217</c:v>
                </c:pt>
                <c:pt idx="8">
                  <c:v>26064425.71531171</c:v>
                </c:pt>
                <c:pt idx="9">
                  <c:v>71082837.560332477</c:v>
                </c:pt>
                <c:pt idx="10">
                  <c:v>117197867.27260269</c:v>
                </c:pt>
                <c:pt idx="11">
                  <c:v>173568567.37135416</c:v>
                </c:pt>
                <c:pt idx="12">
                  <c:v>253061843.46835935</c:v>
                </c:pt>
                <c:pt idx="13">
                  <c:v>322100997.14638674</c:v>
                </c:pt>
                <c:pt idx="14">
                  <c:v>404252155.04704589</c:v>
                </c:pt>
                <c:pt idx="15">
                  <c:v>499918543.22599488</c:v>
                </c:pt>
                <c:pt idx="16">
                  <c:v>612636805.44811857</c:v>
                </c:pt>
                <c:pt idx="17">
                  <c:v>719211265.31230545</c:v>
                </c:pt>
                <c:pt idx="18">
                  <c:v>832815071.51541102</c:v>
                </c:pt>
                <c:pt idx="19">
                  <c:v>954335901.47023332</c:v>
                </c:pt>
                <c:pt idx="20">
                  <c:v>1030978142.4571395</c:v>
                </c:pt>
                <c:pt idx="21">
                  <c:v>1163465402.6213102</c:v>
                </c:pt>
                <c:pt idx="22">
                  <c:v>1305195512.3256292</c:v>
                </c:pt>
                <c:pt idx="23">
                  <c:v>1456880943.7697549</c:v>
                </c:pt>
                <c:pt idx="24">
                  <c:v>1619263102.7611051</c:v>
                </c:pt>
                <c:pt idx="25">
                  <c:v>1793111623.0691688</c:v>
                </c:pt>
                <c:pt idx="26">
                  <c:v>1977406616.8507929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4D-4606-86E7-A89BAE578FC6}"/>
            </c:ext>
          </c:extLst>
        </c:ser>
        <c:ser>
          <c:idx val="1"/>
          <c:order val="2"/>
          <c:tx>
            <c:strRef>
              <c:f>'Resulting Overall Profits'!$B$15</c:f>
              <c:strCache>
                <c:ptCount val="1"/>
                <c:pt idx="0">
                  <c:v>Acc. EBIT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'Resulting Overall Profits'!$D$15:$AD$15</c:f>
              <c:numCache>
                <c:formatCode>_-[$$-409]* #,##0_ ;_-[$$-409]* \-#,##0\ ;_-[$$-409]* "-"??_ ;_-@_ </c:formatCode>
                <c:ptCount val="27"/>
                <c:pt idx="0">
                  <c:v>-649842.23938223906</c:v>
                </c:pt>
                <c:pt idx="1">
                  <c:v>-3355464.0038610031</c:v>
                </c:pt>
                <c:pt idx="2">
                  <c:v>-6717444.1969111962</c:v>
                </c:pt>
                <c:pt idx="3">
                  <c:v>-11549400.232778311</c:v>
                </c:pt>
                <c:pt idx="4">
                  <c:v>-17393816.635565471</c:v>
                </c:pt>
                <c:pt idx="5">
                  <c:v>-24709520.976860519</c:v>
                </c:pt>
                <c:pt idx="6">
                  <c:v>-26332574.802257296</c:v>
                </c:pt>
                <c:pt idx="7">
                  <c:v>-17295015.080027774</c:v>
                </c:pt>
                <c:pt idx="8">
                  <c:v>8769410.6352839358</c:v>
                </c:pt>
                <c:pt idx="9">
                  <c:v>79852248.195616409</c:v>
                </c:pt>
                <c:pt idx="10">
                  <c:v>197050115.4682191</c:v>
                </c:pt>
                <c:pt idx="11">
                  <c:v>370618682.83957326</c:v>
                </c:pt>
                <c:pt idx="12">
                  <c:v>623680526.30793262</c:v>
                </c:pt>
                <c:pt idx="13">
                  <c:v>945781523.45431936</c:v>
                </c:pt>
                <c:pt idx="14">
                  <c:v>1350033678.5013652</c:v>
                </c:pt>
                <c:pt idx="15">
                  <c:v>1849952221.72736</c:v>
                </c:pt>
                <c:pt idx="16">
                  <c:v>2462589027.1754785</c:v>
                </c:pt>
                <c:pt idx="17">
                  <c:v>3181800292.4877839</c:v>
                </c:pt>
                <c:pt idx="18">
                  <c:v>4014615364.0031948</c:v>
                </c:pt>
                <c:pt idx="19">
                  <c:v>4968951265.4734278</c:v>
                </c:pt>
                <c:pt idx="20">
                  <c:v>5999929407.9305668</c:v>
                </c:pt>
                <c:pt idx="21">
                  <c:v>7163394810.551877</c:v>
                </c:pt>
                <c:pt idx="22">
                  <c:v>8468590322.8775063</c:v>
                </c:pt>
                <c:pt idx="23">
                  <c:v>9925471266.6472607</c:v>
                </c:pt>
                <c:pt idx="24">
                  <c:v>11544734369.408365</c:v>
                </c:pt>
                <c:pt idx="25">
                  <c:v>13337845992.477533</c:v>
                </c:pt>
                <c:pt idx="26">
                  <c:v>15315252609.328327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4D-4606-86E7-A89BAE578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503616"/>
        <c:axId val="534504096"/>
      </c:line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 distribution for farming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Cockpit!$C$90</c:f>
              <c:strCache>
                <c:ptCount val="1"/>
                <c:pt idx="0">
                  <c:v>Revenue from pay-as-you-go</c:v>
                </c:pt>
              </c:strCache>
            </c:strRef>
          </c:tx>
          <c:spPr>
            <a:solidFill>
              <a:srgbClr val="2C7C30"/>
            </a:solidFill>
            <a:ln>
              <a:noFill/>
            </a:ln>
            <a:effectLst/>
          </c:spPr>
          <c:invertIfNegative val="0"/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Cockpit!$E$90:$AE$90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41391.000000000007</c:v>
                </c:pt>
                <c:pt idx="4">
                  <c:v>0</c:v>
                </c:pt>
                <c:pt idx="5">
                  <c:v>137970.00000000003</c:v>
                </c:pt>
                <c:pt idx="6">
                  <c:v>137970.00000000003</c:v>
                </c:pt>
                <c:pt idx="7">
                  <c:v>137970.00000000003</c:v>
                </c:pt>
                <c:pt idx="8">
                  <c:v>137970.00000000003</c:v>
                </c:pt>
                <c:pt idx="9">
                  <c:v>137970.00000000003</c:v>
                </c:pt>
                <c:pt idx="10">
                  <c:v>137970.00000000003</c:v>
                </c:pt>
                <c:pt idx="11">
                  <c:v>137970.00000000003</c:v>
                </c:pt>
                <c:pt idx="12">
                  <c:v>137970.00000000003</c:v>
                </c:pt>
                <c:pt idx="13">
                  <c:v>137970.00000000003</c:v>
                </c:pt>
                <c:pt idx="14">
                  <c:v>137970.00000000003</c:v>
                </c:pt>
                <c:pt idx="15">
                  <c:v>137970.00000000003</c:v>
                </c:pt>
                <c:pt idx="16">
                  <c:v>137970.00000000003</c:v>
                </c:pt>
                <c:pt idx="17">
                  <c:v>137970.00000000003</c:v>
                </c:pt>
                <c:pt idx="18">
                  <c:v>137970.00000000003</c:v>
                </c:pt>
                <c:pt idx="19">
                  <c:v>137970.00000000003</c:v>
                </c:pt>
                <c:pt idx="20">
                  <c:v>137970.00000000003</c:v>
                </c:pt>
                <c:pt idx="21">
                  <c:v>137970.00000000003</c:v>
                </c:pt>
                <c:pt idx="22">
                  <c:v>137970.00000000003</c:v>
                </c:pt>
                <c:pt idx="23">
                  <c:v>137970.00000000003</c:v>
                </c:pt>
                <c:pt idx="24">
                  <c:v>96579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6-4C68-88E3-1E2CC40A989A}"/>
            </c:ext>
          </c:extLst>
        </c:ser>
        <c:ser>
          <c:idx val="1"/>
          <c:order val="1"/>
          <c:tx>
            <c:strRef>
              <c:f>Cockpit!$C$92</c:f>
              <c:strCache>
                <c:ptCount val="1"/>
                <c:pt idx="0">
                  <c:v>Revenue from sale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Cockpit!$E$92:$AE$92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3600000</c:v>
                </c:pt>
                <c:pt idx="6">
                  <c:v>7500000</c:v>
                </c:pt>
                <c:pt idx="7">
                  <c:v>15000000</c:v>
                </c:pt>
                <c:pt idx="8">
                  <c:v>22500000</c:v>
                </c:pt>
                <c:pt idx="9">
                  <c:v>33750000</c:v>
                </c:pt>
                <c:pt idx="10">
                  <c:v>50625000</c:v>
                </c:pt>
                <c:pt idx="11">
                  <c:v>63281250</c:v>
                </c:pt>
                <c:pt idx="12">
                  <c:v>79101562.5</c:v>
                </c:pt>
                <c:pt idx="13">
                  <c:v>98876953.125</c:v>
                </c:pt>
                <c:pt idx="14">
                  <c:v>123596191.40625</c:v>
                </c:pt>
                <c:pt idx="15">
                  <c:v>154495239.2578125</c:v>
                </c:pt>
                <c:pt idx="16">
                  <c:v>193119049.07226563</c:v>
                </c:pt>
                <c:pt idx="17">
                  <c:v>212430953.97949222</c:v>
                </c:pt>
                <c:pt idx="18">
                  <c:v>233674049.37744147</c:v>
                </c:pt>
                <c:pt idx="19">
                  <c:v>257041454.31518564</c:v>
                </c:pt>
                <c:pt idx="20">
                  <c:v>282745599.74670422</c:v>
                </c:pt>
                <c:pt idx="21">
                  <c:v>311020159.72137469</c:v>
                </c:pt>
                <c:pt idx="22">
                  <c:v>342122175.69351226</c:v>
                </c:pt>
                <c:pt idx="23">
                  <c:v>376334393.26286352</c:v>
                </c:pt>
                <c:pt idx="24">
                  <c:v>413967832.58914989</c:v>
                </c:pt>
                <c:pt idx="25">
                  <c:v>455364615.8480649</c:v>
                </c:pt>
                <c:pt idx="26">
                  <c:v>500901077.43287146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D6-4C68-88E3-1E2CC40A989A}"/>
            </c:ext>
          </c:extLst>
        </c:ser>
        <c:ser>
          <c:idx val="3"/>
          <c:order val="2"/>
          <c:tx>
            <c:strRef>
              <c:f>Cockpit!$C$95</c:f>
              <c:strCache>
                <c:ptCount val="1"/>
                <c:pt idx="0">
                  <c:v>Revenue from usage-independent subscription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Cockpit!$E$95:$AE$95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D6-4C68-88E3-1E2CC40A989A}"/>
            </c:ext>
          </c:extLst>
        </c:ser>
        <c:ser>
          <c:idx val="4"/>
          <c:order val="3"/>
          <c:tx>
            <c:strRef>
              <c:f>Cockpit!$C$97</c:f>
              <c:strCache>
                <c:ptCount val="1"/>
                <c:pt idx="0">
                  <c:v>Revenue from lease payments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Cockpit!$E$97:$AE$97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840000</c:v>
                </c:pt>
                <c:pt idx="6">
                  <c:v>2590000</c:v>
                </c:pt>
                <c:pt idx="7">
                  <c:v>6089999.9999999991</c:v>
                </c:pt>
                <c:pt idx="8">
                  <c:v>11340000</c:v>
                </c:pt>
                <c:pt idx="9">
                  <c:v>19215000</c:v>
                </c:pt>
                <c:pt idx="10">
                  <c:v>31045000</c:v>
                </c:pt>
                <c:pt idx="11">
                  <c:v>45815000</c:v>
                </c:pt>
                <c:pt idx="12">
                  <c:v>64294999.999999993</c:v>
                </c:pt>
                <c:pt idx="13">
                  <c:v>87395000</c:v>
                </c:pt>
                <c:pt idx="14">
                  <c:v>116235000.00000001</c:v>
                </c:pt>
                <c:pt idx="15">
                  <c:v>152285000</c:v>
                </c:pt>
                <c:pt idx="16">
                  <c:v>197365000</c:v>
                </c:pt>
                <c:pt idx="17">
                  <c:v>246925000</c:v>
                </c:pt>
                <c:pt idx="18">
                  <c:v>301455000</c:v>
                </c:pt>
                <c:pt idx="19">
                  <c:v>361445000</c:v>
                </c:pt>
                <c:pt idx="20">
                  <c:v>361445000</c:v>
                </c:pt>
                <c:pt idx="21">
                  <c:v>427384999.99999994</c:v>
                </c:pt>
                <c:pt idx="22">
                  <c:v>499975000</c:v>
                </c:pt>
                <c:pt idx="23">
                  <c:v>579775000</c:v>
                </c:pt>
                <c:pt idx="24">
                  <c:v>667555000</c:v>
                </c:pt>
                <c:pt idx="25">
                  <c:v>764155000.00000012</c:v>
                </c:pt>
                <c:pt idx="26">
                  <c:v>869575000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D6-4C68-88E3-1E2CC40A989A}"/>
            </c:ext>
          </c:extLst>
        </c:ser>
        <c:ser>
          <c:idx val="5"/>
          <c:order val="4"/>
          <c:tx>
            <c:strRef>
              <c:f>Cockpit!$C$99</c:f>
              <c:strCache>
                <c:ptCount val="1"/>
                <c:pt idx="0">
                  <c:v>Revenue from lump sum + pay-per-use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Cockpit!$E$99:$AE$99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D6-4C68-88E3-1E2CC40A989A}"/>
            </c:ext>
          </c:extLst>
        </c:ser>
        <c:ser>
          <c:idx val="6"/>
          <c:order val="5"/>
          <c:tx>
            <c:strRef>
              <c:f>Cockpit!$C$101</c:f>
              <c:strCache>
                <c:ptCount val="1"/>
                <c:pt idx="0">
                  <c:v>Revenue from lump sum + subscription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Cockpit!$E$101:$AE$101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D6-4C68-88E3-1E2CC40A989A}"/>
            </c:ext>
          </c:extLst>
        </c:ser>
        <c:ser>
          <c:idx val="7"/>
          <c:order val="6"/>
          <c:tx>
            <c:strRef>
              <c:f>Cockpit!$C$103</c:f>
              <c:strCache>
                <c:ptCount val="1"/>
                <c:pt idx="0">
                  <c:v>Revenue from lump sum + lease-to-ownership</c:v>
                </c:pt>
              </c:strCache>
            </c:strRef>
          </c:tx>
          <c:spPr>
            <a:solidFill>
              <a:srgbClr val="FF8A00"/>
            </a:solidFill>
            <a:ln>
              <a:noFill/>
            </a:ln>
            <a:effectLst/>
          </c:spPr>
          <c:invertIfNegative val="0"/>
          <c:val>
            <c:numRef>
              <c:f>Cockpit!$E$103:$AE$103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1350000</c:v>
                </c:pt>
                <c:pt idx="6">
                  <c:v>3562500</c:v>
                </c:pt>
                <c:pt idx="7">
                  <c:v>7937500</c:v>
                </c:pt>
                <c:pt idx="8">
                  <c:v>13875000</c:v>
                </c:pt>
                <c:pt idx="9">
                  <c:v>22781250</c:v>
                </c:pt>
                <c:pt idx="10">
                  <c:v>25606250</c:v>
                </c:pt>
                <c:pt idx="11">
                  <c:v>38268750</c:v>
                </c:pt>
                <c:pt idx="12">
                  <c:v>54106250</c:v>
                </c:pt>
                <c:pt idx="13">
                  <c:v>73906250</c:v>
                </c:pt>
                <c:pt idx="14">
                  <c:v>98631250</c:v>
                </c:pt>
                <c:pt idx="15">
                  <c:v>129531250</c:v>
                </c:pt>
                <c:pt idx="16">
                  <c:v>167418750</c:v>
                </c:pt>
                <c:pt idx="17">
                  <c:v>209306250</c:v>
                </c:pt>
                <c:pt idx="18">
                  <c:v>253981250</c:v>
                </c:pt>
                <c:pt idx="19">
                  <c:v>301881250</c:v>
                </c:pt>
                <c:pt idx="20">
                  <c:v>352662500</c:v>
                </c:pt>
                <c:pt idx="21">
                  <c:v>405725000</c:v>
                </c:pt>
                <c:pt idx="22">
                  <c:v>462500000</c:v>
                </c:pt>
                <c:pt idx="23">
                  <c:v>522950000</c:v>
                </c:pt>
                <c:pt idx="24">
                  <c:v>587000000</c:v>
                </c:pt>
                <c:pt idx="25">
                  <c:v>654400000</c:v>
                </c:pt>
                <c:pt idx="26">
                  <c:v>724687500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D6-4C68-88E3-1E2CC40A9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503616"/>
        <c:axId val="534504096"/>
      </c:barChart>
      <c:lineChart>
        <c:grouping val="standard"/>
        <c:varyColors val="0"/>
        <c:ser>
          <c:idx val="0"/>
          <c:order val="7"/>
          <c:tx>
            <c:strRef>
              <c:f>Cockpit!$C$132</c:f>
              <c:strCache>
                <c:ptCount val="1"/>
                <c:pt idx="0">
                  <c:v>Total COGS Farming Units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Cockpit!$E$132:$AE$132</c:f>
              <c:numCache>
                <c:formatCode>_-[$$-409]* #,##0.00_ ;_-[$$-409]* \-#,##0.00\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41074.818749999999</c:v>
                </c:pt>
                <c:pt idx="4">
                  <c:v>0</c:v>
                </c:pt>
                <c:pt idx="5">
                  <c:v>4088334.2791666668</c:v>
                </c:pt>
                <c:pt idx="6">
                  <c:v>6722407.9805555558</c:v>
                </c:pt>
                <c:pt idx="7">
                  <c:v>11069664.438888889</c:v>
                </c:pt>
                <c:pt idx="8">
                  <c:v>15167151.904166669</c:v>
                </c:pt>
                <c:pt idx="9">
                  <c:v>21815770.081249997</c:v>
                </c:pt>
                <c:pt idx="10">
                  <c:v>30999889.558333334</c:v>
                </c:pt>
                <c:pt idx="11">
                  <c:v>33059940.12864583</c:v>
                </c:pt>
                <c:pt idx="12">
                  <c:v>42130254.031640626</c:v>
                </c:pt>
                <c:pt idx="13">
                  <c:v>54133250.978613287</c:v>
                </c:pt>
                <c:pt idx="14">
                  <c:v>69164501.359204099</c:v>
                </c:pt>
                <c:pt idx="15">
                  <c:v>87843438.531817615</c:v>
                </c:pt>
                <c:pt idx="16">
                  <c:v>111191738.62414704</c:v>
                </c:pt>
                <c:pt idx="17">
                  <c:v>128508015.54218675</c:v>
                </c:pt>
                <c:pt idx="18">
                  <c:v>147588982.08078042</c:v>
                </c:pt>
                <c:pt idx="19">
                  <c:v>168618081.86838976</c:v>
                </c:pt>
                <c:pt idx="20">
                  <c:v>178882980.44386154</c:v>
                </c:pt>
                <c:pt idx="21">
                  <c:v>202747170.41793522</c:v>
                </c:pt>
                <c:pt idx="22">
                  <c:v>228985578.64254123</c:v>
                </c:pt>
                <c:pt idx="23">
                  <c:v>257825171.20148289</c:v>
                </c:pt>
                <c:pt idx="24">
                  <c:v>289488584.5900687</c:v>
                </c:pt>
                <c:pt idx="25">
                  <c:v>324247817.59563804</c:v>
                </c:pt>
                <c:pt idx="26">
                  <c:v>362388470.72863936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0D6-4C68-88E3-1E2CC40A9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503616"/>
        <c:axId val="534504096"/>
      </c:line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 vs. COGS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'Resulting Overall Profits'!$B$4</c:f>
              <c:strCache>
                <c:ptCount val="1"/>
                <c:pt idx="0">
                  <c:v>Total revenue</c:v>
                </c:pt>
              </c:strCache>
            </c:strRef>
          </c:tx>
          <c:spPr>
            <a:ln w="28575" cap="rnd">
              <a:solidFill>
                <a:srgbClr val="FF8A0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Profits'!$D$4:$AD$4</c:f>
              <c:numCache>
                <c:formatCode>_-[$$-409]* #,##0.00_ ;_-[$$-409]* \-#,##0.00\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41391.000000000007</c:v>
                </c:pt>
                <c:pt idx="4">
                  <c:v>0</c:v>
                </c:pt>
                <c:pt idx="5">
                  <c:v>27527970</c:v>
                </c:pt>
                <c:pt idx="6">
                  <c:v>19190470</c:v>
                </c:pt>
                <c:pt idx="7">
                  <c:v>47165470</c:v>
                </c:pt>
                <c:pt idx="8">
                  <c:v>92852970</c:v>
                </c:pt>
                <c:pt idx="9">
                  <c:v>156884220</c:v>
                </c:pt>
                <c:pt idx="10">
                  <c:v>224534220</c:v>
                </c:pt>
                <c:pt idx="11">
                  <c:v>300642970</c:v>
                </c:pt>
                <c:pt idx="12">
                  <c:v>386940782.5</c:v>
                </c:pt>
                <c:pt idx="13">
                  <c:v>485816173.125</c:v>
                </c:pt>
                <c:pt idx="14">
                  <c:v>600387911.40625</c:v>
                </c:pt>
                <c:pt idx="15">
                  <c:v>734738209.2578125</c:v>
                </c:pt>
                <c:pt idx="16">
                  <c:v>892660456.57226563</c:v>
                </c:pt>
                <c:pt idx="17">
                  <c:v>1039943533.3544922</c:v>
                </c:pt>
                <c:pt idx="18">
                  <c:v>1197021218.5961914</c:v>
                </c:pt>
                <c:pt idx="19">
                  <c:v>1365078110.838623</c:v>
                </c:pt>
                <c:pt idx="20">
                  <c:v>1478679740.401001</c:v>
                </c:pt>
                <c:pt idx="21">
                  <c:v>1663031468.0392456</c:v>
                </c:pt>
                <c:pt idx="22">
                  <c:v>1860444020.9681704</c:v>
                </c:pt>
                <c:pt idx="23">
                  <c:v>2071989879.9712377</c:v>
                </c:pt>
                <c:pt idx="24">
                  <c:v>2298700872.3511739</c:v>
                </c:pt>
                <c:pt idx="25">
                  <c:v>2541645713.1648068</c:v>
                </c:pt>
                <c:pt idx="26">
                  <c:v>2800535585.079432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0-4E8F-9975-D51612AA184A}"/>
            </c:ext>
          </c:extLst>
        </c:ser>
        <c:ser>
          <c:idx val="0"/>
          <c:order val="1"/>
          <c:tx>
            <c:strRef>
              <c:f>'Resulting Overall Profits'!$B$5</c:f>
              <c:strCache>
                <c:ptCount val="1"/>
                <c:pt idx="0">
                  <c:v>Total COGS</c:v>
                </c:pt>
              </c:strCache>
            </c:strRef>
          </c:tx>
          <c:spPr>
            <a:ln w="28575" cap="rnd">
              <a:solidFill>
                <a:srgbClr val="2C7C30"/>
              </a:solidFill>
              <a:round/>
            </a:ln>
            <a:effectLst/>
          </c:spPr>
          <c:marker>
            <c:symbol val="none"/>
          </c:marker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'Resulting Overall Profits'!$D$5:$AD$5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41074.818749999999</c:v>
                </c:pt>
                <c:pt idx="4">
                  <c:v>0</c:v>
                </c:pt>
                <c:pt idx="5">
                  <c:v>27604554.279166669</c:v>
                </c:pt>
                <c:pt idx="6">
                  <c:v>11696992.980555557</c:v>
                </c:pt>
                <c:pt idx="7">
                  <c:v>26897889.438888889</c:v>
                </c:pt>
                <c:pt idx="8">
                  <c:v>52853401.904166669</c:v>
                </c:pt>
                <c:pt idx="9">
                  <c:v>65932682.581249997</c:v>
                </c:pt>
                <c:pt idx="10">
                  <c:v>79998014.558333337</c:v>
                </c:pt>
                <c:pt idx="11">
                  <c:v>109959890.12864584</c:v>
                </c:pt>
                <c:pt idx="12">
                  <c:v>113407266.53164062</c:v>
                </c:pt>
                <c:pt idx="13">
                  <c:v>139017313.47861329</c:v>
                </c:pt>
                <c:pt idx="14">
                  <c:v>167655613.85920411</c:v>
                </c:pt>
                <c:pt idx="15">
                  <c:v>199941601.03181762</c:v>
                </c:pt>
                <c:pt idx="16">
                  <c:v>236896951.12414706</c:v>
                </c:pt>
                <c:pt idx="17">
                  <c:v>267820278.04218674</c:v>
                </c:pt>
                <c:pt idx="18">
                  <c:v>300508294.58078039</c:v>
                </c:pt>
                <c:pt idx="19">
                  <c:v>335144444.36838973</c:v>
                </c:pt>
                <c:pt idx="20">
                  <c:v>359016392.94386154</c:v>
                </c:pt>
                <c:pt idx="21">
                  <c:v>396487632.91793525</c:v>
                </c:pt>
                <c:pt idx="22">
                  <c:v>436333091.14254123</c:v>
                </c:pt>
                <c:pt idx="23">
                  <c:v>478779733.70148289</c:v>
                </c:pt>
                <c:pt idx="24">
                  <c:v>524050197.0900687</c:v>
                </c:pt>
                <c:pt idx="25">
                  <c:v>572416480.09563804</c:v>
                </c:pt>
                <c:pt idx="26">
                  <c:v>624164183.22863936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80-4E8F-9975-D51612AA1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503616"/>
        <c:axId val="534504096"/>
      </c:line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Cockpit!$C$155</c:f>
              <c:strCache>
                <c:ptCount val="1"/>
                <c:pt idx="0">
                  <c:v>Total (Manufacturing) CAPEX Farming Units</c:v>
                </c:pt>
              </c:strCache>
            </c:strRef>
          </c:tx>
          <c:spPr>
            <a:solidFill>
              <a:srgbClr val="2C7C30"/>
            </a:solidFill>
            <a:ln>
              <a:noFill/>
            </a:ln>
            <a:effectLst/>
          </c:spPr>
          <c:invertIfNegative val="0"/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Cockpit!$E$155:$AE$155</c:f>
              <c:numCache>
                <c:formatCode>_-[$$-409]* #,##0.00_ ;_-[$$-409]* \-#,##0.00\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1995000</c:v>
                </c:pt>
                <c:pt idx="4">
                  <c:v>2500575</c:v>
                </c:pt>
                <c:pt idx="5">
                  <c:v>6832800</c:v>
                </c:pt>
                <c:pt idx="6">
                  <c:v>10950000</c:v>
                </c:pt>
                <c:pt idx="7">
                  <c:v>17520000</c:v>
                </c:pt>
                <c:pt idx="8">
                  <c:v>22995000.000000004</c:v>
                </c:pt>
                <c:pt idx="9">
                  <c:v>32028750</c:v>
                </c:pt>
                <c:pt idx="10">
                  <c:v>44413200</c:v>
                </c:pt>
                <c:pt idx="11">
                  <c:v>41588100</c:v>
                </c:pt>
                <c:pt idx="12">
                  <c:v>52034400</c:v>
                </c:pt>
                <c:pt idx="13">
                  <c:v>65043000</c:v>
                </c:pt>
                <c:pt idx="14">
                  <c:v>81205200</c:v>
                </c:pt>
                <c:pt idx="15">
                  <c:v>101506500</c:v>
                </c:pt>
                <c:pt idx="16">
                  <c:v>126932400</c:v>
                </c:pt>
                <c:pt idx="17">
                  <c:v>139546800</c:v>
                </c:pt>
                <c:pt idx="18">
                  <c:v>153540900</c:v>
                </c:pt>
                <c:pt idx="19">
                  <c:v>168914700</c:v>
                </c:pt>
                <c:pt idx="20">
                  <c:v>185668200</c:v>
                </c:pt>
                <c:pt idx="21">
                  <c:v>204392700</c:v>
                </c:pt>
                <c:pt idx="22">
                  <c:v>224694000</c:v>
                </c:pt>
                <c:pt idx="23">
                  <c:v>247163400</c:v>
                </c:pt>
                <c:pt idx="24">
                  <c:v>271998000</c:v>
                </c:pt>
                <c:pt idx="25">
                  <c:v>299197800</c:v>
                </c:pt>
                <c:pt idx="26">
                  <c:v>329157000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6-4CAC-8EEA-761A327B60CA}"/>
            </c:ext>
          </c:extLst>
        </c:ser>
        <c:ser>
          <c:idx val="0"/>
          <c:order val="1"/>
          <c:tx>
            <c:strRef>
              <c:f>'Resulting Overall Profits'!$B$10</c:f>
              <c:strCache>
                <c:ptCount val="1"/>
                <c:pt idx="0">
                  <c:v>CAPEX Expenditure (i.e., buildings, labs)</c:v>
                </c:pt>
              </c:strCache>
            </c:strRef>
          </c:tx>
          <c:spPr>
            <a:solidFill>
              <a:srgbClr val="FF8A00"/>
            </a:solidFill>
            <a:ln>
              <a:noFill/>
            </a:ln>
            <a:effectLst/>
          </c:spPr>
          <c:invertIfNegative val="0"/>
          <c:val>
            <c:numRef>
              <c:f>'Resulting Overall Profits'!$D$10:$AD$10</c:f>
              <c:numCache>
                <c:formatCode>_-[$$-409]* #,##0_ ;_-[$$-409]* \-#,##0\ ;_-[$$-409]* "-"??_ ;_-@_ </c:formatCode>
                <c:ptCount val="27"/>
                <c:pt idx="0">
                  <c:v>296000</c:v>
                </c:pt>
                <c:pt idx="1">
                  <c:v>231050</c:v>
                </c:pt>
                <c:pt idx="2">
                  <c:v>16050.000000000002</c:v>
                </c:pt>
                <c:pt idx="3">
                  <c:v>15000000</c:v>
                </c:pt>
                <c:pt idx="4">
                  <c:v>2000000</c:v>
                </c:pt>
                <c:pt idx="5">
                  <c:v>0</c:v>
                </c:pt>
                <c:pt idx="6">
                  <c:v>500000</c:v>
                </c:pt>
                <c:pt idx="7">
                  <c:v>300000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56-4CAC-8EEA-761A327B6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503616"/>
        <c:axId val="534504096"/>
      </c:bar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 distribution for</a:t>
            </a:r>
            <a:r>
              <a:rPr lang="de-DE" baseline="0"/>
              <a:t> industrial units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Cockpit!$C$249</c:f>
              <c:strCache>
                <c:ptCount val="1"/>
                <c:pt idx="0">
                  <c:v>Revenue from pay-as-you-go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'Resulting Overall Profits'!$D$3:$AD$3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Cockpit!$E$249:$AE$249</c:f>
            </c:numRef>
          </c:val>
          <c:extLst>
            <c:ext xmlns:c16="http://schemas.microsoft.com/office/drawing/2014/chart" uri="{C3380CC4-5D6E-409C-BE32-E72D297353CC}">
              <c16:uniqueId val="{00000000-171C-4577-9A9B-389B8DE8C5BE}"/>
            </c:ext>
          </c:extLst>
        </c:ser>
        <c:ser>
          <c:idx val="1"/>
          <c:order val="1"/>
          <c:tx>
            <c:strRef>
              <c:f>Cockpit!$C$251</c:f>
              <c:strCache>
                <c:ptCount val="1"/>
                <c:pt idx="0">
                  <c:v>Revenue from sale</c:v>
                </c:pt>
              </c:strCache>
            </c:strRef>
          </c:tx>
          <c:spPr>
            <a:solidFill>
              <a:srgbClr val="FF8A00"/>
            </a:solidFill>
            <a:ln>
              <a:noFill/>
            </a:ln>
            <a:effectLst/>
          </c:spPr>
          <c:invertIfNegative val="0"/>
          <c:val>
            <c:numRef>
              <c:f>Cockpit!$E$251:$AE$251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21600000</c:v>
                </c:pt>
                <c:pt idx="6">
                  <c:v>5400000</c:v>
                </c:pt>
                <c:pt idx="7">
                  <c:v>18000000</c:v>
                </c:pt>
                <c:pt idx="8">
                  <c:v>45000000</c:v>
                </c:pt>
                <c:pt idx="9">
                  <c:v>81000000</c:v>
                </c:pt>
                <c:pt idx="10">
                  <c:v>117000000</c:v>
                </c:pt>
                <c:pt idx="11">
                  <c:v>153000000</c:v>
                </c:pt>
                <c:pt idx="12">
                  <c:v>189000000</c:v>
                </c:pt>
                <c:pt idx="13">
                  <c:v>225000000</c:v>
                </c:pt>
                <c:pt idx="14">
                  <c:v>261000000</c:v>
                </c:pt>
                <c:pt idx="15">
                  <c:v>297000000</c:v>
                </c:pt>
                <c:pt idx="16">
                  <c:v>333000000</c:v>
                </c:pt>
                <c:pt idx="17">
                  <c:v>369000000</c:v>
                </c:pt>
                <c:pt idx="18">
                  <c:v>405000000</c:v>
                </c:pt>
                <c:pt idx="19">
                  <c:v>441000000</c:v>
                </c:pt>
                <c:pt idx="20">
                  <c:v>477000000</c:v>
                </c:pt>
                <c:pt idx="21">
                  <c:v>513000000</c:v>
                </c:pt>
                <c:pt idx="22">
                  <c:v>549000000</c:v>
                </c:pt>
                <c:pt idx="23">
                  <c:v>585000000</c:v>
                </c:pt>
                <c:pt idx="24">
                  <c:v>621000000</c:v>
                </c:pt>
                <c:pt idx="25">
                  <c:v>657000000</c:v>
                </c:pt>
                <c:pt idx="26">
                  <c:v>693000000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1C-4577-9A9B-389B8DE8C5BE}"/>
            </c:ext>
          </c:extLst>
        </c:ser>
        <c:ser>
          <c:idx val="3"/>
          <c:order val="2"/>
          <c:tx>
            <c:strRef>
              <c:f>Cockpit!$C$255</c:f>
              <c:strCache>
                <c:ptCount val="1"/>
                <c:pt idx="0">
                  <c:v>Revenue from usage-independent subscription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Cockpit!$E$255:$AE$255</c:f>
            </c:numRef>
          </c:val>
          <c:extLst>
            <c:ext xmlns:c16="http://schemas.microsoft.com/office/drawing/2014/chart" uri="{C3380CC4-5D6E-409C-BE32-E72D297353CC}">
              <c16:uniqueId val="{00000002-171C-4577-9A9B-389B8DE8C5BE}"/>
            </c:ext>
          </c:extLst>
        </c:ser>
        <c:ser>
          <c:idx val="4"/>
          <c:order val="3"/>
          <c:tx>
            <c:strRef>
              <c:f>Cockpit!$C$257</c:f>
              <c:strCache>
                <c:ptCount val="1"/>
                <c:pt idx="0">
                  <c:v>Revenue from lease payments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Cockpit!$E$257:$AE$257</c:f>
            </c:numRef>
          </c:val>
          <c:extLst>
            <c:ext xmlns:c16="http://schemas.microsoft.com/office/drawing/2014/chart" uri="{C3380CC4-5D6E-409C-BE32-E72D297353CC}">
              <c16:uniqueId val="{00000003-171C-4577-9A9B-389B8DE8C5BE}"/>
            </c:ext>
          </c:extLst>
        </c:ser>
        <c:ser>
          <c:idx val="5"/>
          <c:order val="4"/>
          <c:tx>
            <c:strRef>
              <c:f>Cockpit!$C$259</c:f>
              <c:strCache>
                <c:ptCount val="1"/>
                <c:pt idx="0">
                  <c:v>Revenue from lump sum + pay-per-use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Cockpit!$E$259:$AE$259</c:f>
            </c:numRef>
          </c:val>
          <c:extLst>
            <c:ext xmlns:c16="http://schemas.microsoft.com/office/drawing/2014/chart" uri="{C3380CC4-5D6E-409C-BE32-E72D297353CC}">
              <c16:uniqueId val="{00000004-171C-4577-9A9B-389B8DE8C5BE}"/>
            </c:ext>
          </c:extLst>
        </c:ser>
        <c:ser>
          <c:idx val="6"/>
          <c:order val="5"/>
          <c:tx>
            <c:strRef>
              <c:f>Cockpit!$C$263</c:f>
              <c:strCache>
                <c:ptCount val="1"/>
                <c:pt idx="0">
                  <c:v>Revenue from lump sum + lease-to-ownership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Cockpit!$E$263:$AE$263</c:f>
            </c:numRef>
          </c:val>
          <c:extLst>
            <c:ext xmlns:c16="http://schemas.microsoft.com/office/drawing/2014/chart" uri="{C3380CC4-5D6E-409C-BE32-E72D297353CC}">
              <c16:uniqueId val="{00000005-171C-4577-9A9B-389B8DE8C5BE}"/>
            </c:ext>
          </c:extLst>
        </c:ser>
        <c:ser>
          <c:idx val="7"/>
          <c:order val="6"/>
          <c:tx>
            <c:strRef>
              <c:f>Cockpit!$C$261</c:f>
              <c:strCache>
                <c:ptCount val="1"/>
                <c:pt idx="0">
                  <c:v>Revenue from lump sum + subscription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Cockpit!$E$261:$AE$261</c:f>
            </c:numRef>
          </c:val>
          <c:extLst>
            <c:ext xmlns:c16="http://schemas.microsoft.com/office/drawing/2014/chart" uri="{C3380CC4-5D6E-409C-BE32-E72D297353CC}">
              <c16:uniqueId val="{00000006-171C-4577-9A9B-389B8DE8C5BE}"/>
            </c:ext>
          </c:extLst>
        </c:ser>
        <c:ser>
          <c:idx val="8"/>
          <c:order val="8"/>
          <c:tx>
            <c:strRef>
              <c:f>Cockpit!$C$252</c:f>
              <c:strCache>
                <c:ptCount val="1"/>
                <c:pt idx="0">
                  <c:v>Revenue from service agreement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Cockpit!$E$252:$AE$252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1C-4577-9A9B-389B8DE8C5BE}"/>
            </c:ext>
          </c:extLst>
        </c:ser>
        <c:ser>
          <c:idx val="9"/>
          <c:order val="9"/>
          <c:tx>
            <c:strRef>
              <c:f>Cockpit!$C$253</c:f>
              <c:strCache>
                <c:ptCount val="1"/>
                <c:pt idx="0">
                  <c:v>Revenue from service to sold units every 5 years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Cockpit!$E$253:$AE$253</c:f>
              <c:numCache>
                <c:formatCode>_-[$$-409]* #,##0_ ;_-[$$-409]* \-#,##0\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60000</c:v>
                </c:pt>
                <c:pt idx="11">
                  <c:v>15000</c:v>
                </c:pt>
                <c:pt idx="12">
                  <c:v>50000</c:v>
                </c:pt>
                <c:pt idx="13">
                  <c:v>125000</c:v>
                </c:pt>
                <c:pt idx="14">
                  <c:v>225000</c:v>
                </c:pt>
                <c:pt idx="15">
                  <c:v>385000</c:v>
                </c:pt>
                <c:pt idx="16">
                  <c:v>440000</c:v>
                </c:pt>
                <c:pt idx="17">
                  <c:v>575000</c:v>
                </c:pt>
                <c:pt idx="18">
                  <c:v>750000</c:v>
                </c:pt>
                <c:pt idx="19">
                  <c:v>950000</c:v>
                </c:pt>
                <c:pt idx="20">
                  <c:v>1210000</c:v>
                </c:pt>
                <c:pt idx="21">
                  <c:v>1365000</c:v>
                </c:pt>
                <c:pt idx="22">
                  <c:v>1600000</c:v>
                </c:pt>
                <c:pt idx="23">
                  <c:v>1875000</c:v>
                </c:pt>
                <c:pt idx="24">
                  <c:v>2175000</c:v>
                </c:pt>
                <c:pt idx="25">
                  <c:v>2535000</c:v>
                </c:pt>
                <c:pt idx="26">
                  <c:v>2790000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1C-4577-9A9B-389B8DE8C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503616"/>
        <c:axId val="534504096"/>
      </c:barChart>
      <c:lineChart>
        <c:grouping val="standard"/>
        <c:varyColors val="0"/>
        <c:ser>
          <c:idx val="0"/>
          <c:order val="7"/>
          <c:tx>
            <c:strRef>
              <c:f>Cockpit!$C$299</c:f>
              <c:strCache>
                <c:ptCount val="1"/>
                <c:pt idx="0">
                  <c:v>Total COGS Industrial Units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Cockpit!$E$299:$AE$299</c:f>
              <c:numCache>
                <c:formatCode>_-[$$-409]* #,##0.00_ ;_-[$$-409]* \-#,##0.00\ ;_-[$$-409]* "-"??_ ;_-@_ 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23516220</c:v>
                </c:pt>
                <c:pt idx="6">
                  <c:v>4974585</c:v>
                </c:pt>
                <c:pt idx="7">
                  <c:v>15828225</c:v>
                </c:pt>
                <c:pt idx="8">
                  <c:v>37686250</c:v>
                </c:pt>
                <c:pt idx="9">
                  <c:v>44116912.5</c:v>
                </c:pt>
                <c:pt idx="10">
                  <c:v>48998125</c:v>
                </c:pt>
                <c:pt idx="11">
                  <c:v>76899950</c:v>
                </c:pt>
                <c:pt idx="12">
                  <c:v>71277012.5</c:v>
                </c:pt>
                <c:pt idx="13">
                  <c:v>84884062.5</c:v>
                </c:pt>
                <c:pt idx="14">
                  <c:v>98491112.5</c:v>
                </c:pt>
                <c:pt idx="15">
                  <c:v>112098162.5</c:v>
                </c:pt>
                <c:pt idx="16">
                  <c:v>125705212.5</c:v>
                </c:pt>
                <c:pt idx="17">
                  <c:v>139312262.5</c:v>
                </c:pt>
                <c:pt idx="18">
                  <c:v>152919312.5</c:v>
                </c:pt>
                <c:pt idx="19">
                  <c:v>166526362.5</c:v>
                </c:pt>
                <c:pt idx="20">
                  <c:v>180133412.5</c:v>
                </c:pt>
                <c:pt idx="21">
                  <c:v>193740462.5</c:v>
                </c:pt>
                <c:pt idx="22">
                  <c:v>207347512.5</c:v>
                </c:pt>
                <c:pt idx="23">
                  <c:v>220954562.5</c:v>
                </c:pt>
                <c:pt idx="24">
                  <c:v>234561612.5</c:v>
                </c:pt>
                <c:pt idx="25">
                  <c:v>248168662.5</c:v>
                </c:pt>
                <c:pt idx="26">
                  <c:v>261775712.5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1C-4577-9A9B-389B8DE8C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503616"/>
        <c:axId val="534504096"/>
      </c:lineChart>
      <c:catAx>
        <c:axId val="5345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4096"/>
        <c:crosses val="autoZero"/>
        <c:auto val="1"/>
        <c:lblAlgn val="ctr"/>
        <c:lblOffset val="100"/>
        <c:noMultiLvlLbl val="0"/>
      </c:catAx>
      <c:valAx>
        <c:axId val="5345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53450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Costs breakdown ($ monthly)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'R&amp;D budget'!$A$5</c:f>
              <c:strCache>
                <c:ptCount val="1"/>
                <c:pt idx="0">
                  <c:v>Sales &amp; Marketing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'R&amp;D budget'!$C$5:$AL$5</c:f>
              <c:numCache>
                <c:formatCode>_-* #,##0_-;\-* #,##0_-;_-* "-"??_-;_-@_-</c:formatCode>
                <c:ptCount val="36"/>
                <c:pt idx="17">
                  <c:v>7276</c:v>
                </c:pt>
                <c:pt idx="18">
                  <c:v>7276</c:v>
                </c:pt>
                <c:pt idx="19">
                  <c:v>7276</c:v>
                </c:pt>
                <c:pt idx="20">
                  <c:v>7276</c:v>
                </c:pt>
                <c:pt idx="21">
                  <c:v>7276</c:v>
                </c:pt>
                <c:pt idx="22">
                  <c:v>7276</c:v>
                </c:pt>
                <c:pt idx="23">
                  <c:v>7276</c:v>
                </c:pt>
                <c:pt idx="24">
                  <c:v>7276</c:v>
                </c:pt>
                <c:pt idx="25">
                  <c:v>7276</c:v>
                </c:pt>
                <c:pt idx="26">
                  <c:v>7276</c:v>
                </c:pt>
                <c:pt idx="27">
                  <c:v>7276</c:v>
                </c:pt>
                <c:pt idx="28">
                  <c:v>7276</c:v>
                </c:pt>
                <c:pt idx="29">
                  <c:v>7276</c:v>
                </c:pt>
                <c:pt idx="30">
                  <c:v>14552</c:v>
                </c:pt>
                <c:pt idx="31">
                  <c:v>14552</c:v>
                </c:pt>
                <c:pt idx="32">
                  <c:v>14552</c:v>
                </c:pt>
                <c:pt idx="33">
                  <c:v>14552</c:v>
                </c:pt>
                <c:pt idx="34">
                  <c:v>14552</c:v>
                </c:pt>
                <c:pt idx="35">
                  <c:v>14552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FD7-B648-248DEBE7B1AB}"/>
            </c:ext>
          </c:extLst>
        </c:ser>
        <c:ser>
          <c:idx val="1"/>
          <c:order val="1"/>
          <c:tx>
            <c:strRef>
              <c:f>'R&amp;D budget'!$A$10</c:f>
              <c:strCache>
                <c:ptCount val="1"/>
                <c:pt idx="0">
                  <c:v>Research &amp; Development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'R&amp;D budget'!$C$10:$AL$10</c:f>
              <c:numCache>
                <c:formatCode>_-* #,##0_-;\-* #,##0_-;_-* "-"??_-;_-@_-</c:formatCode>
                <c:ptCount val="36"/>
                <c:pt idx="0">
                  <c:v>50000</c:v>
                </c:pt>
                <c:pt idx="2">
                  <c:v>275000</c:v>
                </c:pt>
                <c:pt idx="6">
                  <c:v>68630</c:v>
                </c:pt>
                <c:pt idx="7">
                  <c:v>28130</c:v>
                </c:pt>
                <c:pt idx="8">
                  <c:v>52886</c:v>
                </c:pt>
                <c:pt idx="9">
                  <c:v>55406</c:v>
                </c:pt>
                <c:pt idx="10">
                  <c:v>72182</c:v>
                </c:pt>
                <c:pt idx="11">
                  <c:v>62882</c:v>
                </c:pt>
                <c:pt idx="12">
                  <c:v>196394.66666666669</c:v>
                </c:pt>
                <c:pt idx="13">
                  <c:v>73744.666666666672</c:v>
                </c:pt>
                <c:pt idx="14">
                  <c:v>72844.666666666672</c:v>
                </c:pt>
                <c:pt idx="15">
                  <c:v>93744.666666666672</c:v>
                </c:pt>
                <c:pt idx="16">
                  <c:v>807844.66666666663</c:v>
                </c:pt>
                <c:pt idx="17">
                  <c:v>289744.66666666669</c:v>
                </c:pt>
                <c:pt idx="18">
                  <c:v>84350.666666666672</c:v>
                </c:pt>
                <c:pt idx="19">
                  <c:v>85850.666666666672</c:v>
                </c:pt>
                <c:pt idx="20">
                  <c:v>114350.66666666667</c:v>
                </c:pt>
                <c:pt idx="21">
                  <c:v>93830.666666666672</c:v>
                </c:pt>
                <c:pt idx="22">
                  <c:v>262330.66666666669</c:v>
                </c:pt>
                <c:pt idx="23">
                  <c:v>93830.666666666672</c:v>
                </c:pt>
                <c:pt idx="24">
                  <c:v>145656.66666666669</c:v>
                </c:pt>
                <c:pt idx="25">
                  <c:v>101106.66666666667</c:v>
                </c:pt>
                <c:pt idx="26">
                  <c:v>99606.666666666672</c:v>
                </c:pt>
                <c:pt idx="27">
                  <c:v>121106.66666666667</c:v>
                </c:pt>
                <c:pt idx="28">
                  <c:v>834606.66666666674</c:v>
                </c:pt>
                <c:pt idx="29">
                  <c:v>101106.66666666667</c:v>
                </c:pt>
                <c:pt idx="30">
                  <c:v>114158.66666666667</c:v>
                </c:pt>
                <c:pt idx="31">
                  <c:v>115658.66666666667</c:v>
                </c:pt>
                <c:pt idx="32">
                  <c:v>344158.66666666669</c:v>
                </c:pt>
                <c:pt idx="33">
                  <c:v>115658.66666666667</c:v>
                </c:pt>
                <c:pt idx="34">
                  <c:v>114158.66666666667</c:v>
                </c:pt>
                <c:pt idx="35">
                  <c:v>345658.66666666669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1-4FD7-B648-248DEBE7B1AB}"/>
            </c:ext>
          </c:extLst>
        </c:ser>
        <c:ser>
          <c:idx val="2"/>
          <c:order val="2"/>
          <c:tx>
            <c:strRef>
              <c:f>'R&amp;D budget'!$A$38</c:f>
              <c:strCache>
                <c:ptCount val="1"/>
                <c:pt idx="0">
                  <c:v>General &amp; Administrative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'R&amp;D budget'!$C$38:$AL$38</c:f>
              <c:numCache>
                <c:formatCode>_-* #,##0_-;\-* #,##0_-;_-* "-"??_-;_-@_-</c:formatCode>
                <c:ptCount val="36"/>
                <c:pt idx="0">
                  <c:v>2172.2857142857142</c:v>
                </c:pt>
                <c:pt idx="1">
                  <c:v>200</c:v>
                </c:pt>
                <c:pt idx="2">
                  <c:v>10200</c:v>
                </c:pt>
                <c:pt idx="3">
                  <c:v>200</c:v>
                </c:pt>
                <c:pt idx="4">
                  <c:v>200</c:v>
                </c:pt>
                <c:pt idx="5">
                  <c:v>8450</c:v>
                </c:pt>
                <c:pt idx="6">
                  <c:v>29866.936936936938</c:v>
                </c:pt>
                <c:pt idx="7">
                  <c:v>26080</c:v>
                </c:pt>
                <c:pt idx="8">
                  <c:v>16280.936936936938</c:v>
                </c:pt>
                <c:pt idx="9">
                  <c:v>30694</c:v>
                </c:pt>
                <c:pt idx="10">
                  <c:v>20706.936936936938</c:v>
                </c:pt>
                <c:pt idx="11">
                  <c:v>70198.57142857142</c:v>
                </c:pt>
                <c:pt idx="12">
                  <c:v>47556.936936936938</c:v>
                </c:pt>
                <c:pt idx="13">
                  <c:v>29320</c:v>
                </c:pt>
                <c:pt idx="14">
                  <c:v>36256.936936936938</c:v>
                </c:pt>
                <c:pt idx="15">
                  <c:v>29870</c:v>
                </c:pt>
                <c:pt idx="16">
                  <c:v>31306.936936936938</c:v>
                </c:pt>
                <c:pt idx="17">
                  <c:v>83748.57142857142</c:v>
                </c:pt>
                <c:pt idx="18">
                  <c:v>39942.936936936938</c:v>
                </c:pt>
                <c:pt idx="19">
                  <c:v>26506</c:v>
                </c:pt>
                <c:pt idx="20">
                  <c:v>28442.936936936938</c:v>
                </c:pt>
                <c:pt idx="21">
                  <c:v>32856</c:v>
                </c:pt>
                <c:pt idx="22">
                  <c:v>28492.936936936938</c:v>
                </c:pt>
                <c:pt idx="23">
                  <c:v>140127.42857142858</c:v>
                </c:pt>
                <c:pt idx="24">
                  <c:v>41942.936936936938</c:v>
                </c:pt>
                <c:pt idx="25">
                  <c:v>26606</c:v>
                </c:pt>
                <c:pt idx="26">
                  <c:v>28542.936936936938</c:v>
                </c:pt>
                <c:pt idx="27">
                  <c:v>27156</c:v>
                </c:pt>
                <c:pt idx="28">
                  <c:v>28592.936936936938</c:v>
                </c:pt>
                <c:pt idx="29">
                  <c:v>83084.57142857142</c:v>
                </c:pt>
                <c:pt idx="30">
                  <c:v>47992.936936936938</c:v>
                </c:pt>
                <c:pt idx="31">
                  <c:v>26756</c:v>
                </c:pt>
                <c:pt idx="32">
                  <c:v>28692.936936936938</c:v>
                </c:pt>
                <c:pt idx="33">
                  <c:v>32306</c:v>
                </c:pt>
                <c:pt idx="34">
                  <c:v>28742.936936936938</c:v>
                </c:pt>
                <c:pt idx="35">
                  <c:v>203948.85714285716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1-4FD7-B648-248DEBE7B1AB}"/>
            </c:ext>
          </c:extLst>
        </c:ser>
        <c:ser>
          <c:idx val="3"/>
          <c:order val="3"/>
          <c:tx>
            <c:strRef>
              <c:f>'R&amp;D budget'!$A$54</c:f>
              <c:strCache>
                <c:ptCount val="1"/>
                <c:pt idx="0">
                  <c:v>Misc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val>
            <c:numRef>
              <c:f>'R&amp;D budget'!$C$54:$AL$54</c:f>
              <c:numCache>
                <c:formatCode>_-* #,##0_-;\-* #,##0_-;_-* "-"??_-;_-@_-</c:formatCode>
                <c:ptCount val="36"/>
                <c:pt idx="1">
                  <c:v>500</c:v>
                </c:pt>
                <c:pt idx="2">
                  <c:v>2300</c:v>
                </c:pt>
                <c:pt idx="3">
                  <c:v>1800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4800</c:v>
                </c:pt>
                <c:pt idx="8">
                  <c:v>4800</c:v>
                </c:pt>
                <c:pt idx="9">
                  <c:v>4800</c:v>
                </c:pt>
                <c:pt idx="10">
                  <c:v>4800</c:v>
                </c:pt>
                <c:pt idx="11">
                  <c:v>16228.571428571429</c:v>
                </c:pt>
                <c:pt idx="12">
                  <c:v>6800</c:v>
                </c:pt>
                <c:pt idx="13">
                  <c:v>4800</c:v>
                </c:pt>
                <c:pt idx="14">
                  <c:v>4800</c:v>
                </c:pt>
                <c:pt idx="15">
                  <c:v>4800</c:v>
                </c:pt>
                <c:pt idx="16">
                  <c:v>4800</c:v>
                </c:pt>
                <c:pt idx="17">
                  <c:v>8600</c:v>
                </c:pt>
                <c:pt idx="18">
                  <c:v>6600</c:v>
                </c:pt>
                <c:pt idx="19">
                  <c:v>6600</c:v>
                </c:pt>
                <c:pt idx="20">
                  <c:v>6600</c:v>
                </c:pt>
                <c:pt idx="21">
                  <c:v>6600</c:v>
                </c:pt>
                <c:pt idx="22">
                  <c:v>6600</c:v>
                </c:pt>
                <c:pt idx="23">
                  <c:v>29457.142857142859</c:v>
                </c:pt>
                <c:pt idx="24">
                  <c:v>13600</c:v>
                </c:pt>
                <c:pt idx="25">
                  <c:v>6600</c:v>
                </c:pt>
                <c:pt idx="26">
                  <c:v>6600</c:v>
                </c:pt>
                <c:pt idx="27">
                  <c:v>6600</c:v>
                </c:pt>
                <c:pt idx="28">
                  <c:v>6600</c:v>
                </c:pt>
                <c:pt idx="29">
                  <c:v>8600</c:v>
                </c:pt>
                <c:pt idx="30">
                  <c:v>8600</c:v>
                </c:pt>
                <c:pt idx="31">
                  <c:v>8600</c:v>
                </c:pt>
                <c:pt idx="32">
                  <c:v>8600</c:v>
                </c:pt>
                <c:pt idx="33">
                  <c:v>8600</c:v>
                </c:pt>
                <c:pt idx="34">
                  <c:v>8600</c:v>
                </c:pt>
                <c:pt idx="35">
                  <c:v>31457.142857142859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91-4FD7-B648-248DEBE7B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174624"/>
        <c:axId val="1871645232"/>
      </c:areaChart>
      <c:catAx>
        <c:axId val="19111746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71645232"/>
        <c:crosses val="autoZero"/>
        <c:auto val="1"/>
        <c:lblAlgn val="ctr"/>
        <c:lblOffset val="100"/>
        <c:noMultiLvlLbl val="0"/>
      </c:catAx>
      <c:valAx>
        <c:axId val="187164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11174624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'R&amp;D budget'!$A$68</c:f>
              <c:strCache>
                <c:ptCount val="1"/>
                <c:pt idx="0">
                  <c:v>Acc. cashflow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'R&amp;D budget'!$C$68:$AL$68</c:f>
              <c:numCache>
                <c:formatCode>_-* #,##0_-;\-* #,##0_-;_-* "-"??_-;_-@_-</c:formatCode>
                <c:ptCount val="36"/>
                <c:pt idx="0">
                  <c:v>1022827.7142857143</c:v>
                </c:pt>
                <c:pt idx="1">
                  <c:v>1022127.7142857143</c:v>
                </c:pt>
                <c:pt idx="2">
                  <c:v>749267.71428571432</c:v>
                </c:pt>
                <c:pt idx="3">
                  <c:v>997267.71428571432</c:v>
                </c:pt>
                <c:pt idx="4">
                  <c:v>995267.71428571432</c:v>
                </c:pt>
                <c:pt idx="5">
                  <c:v>985017.71428571432</c:v>
                </c:pt>
                <c:pt idx="6">
                  <c:v>884720.7773487774</c:v>
                </c:pt>
                <c:pt idx="7">
                  <c:v>825710.7773487774</c:v>
                </c:pt>
                <c:pt idx="8">
                  <c:v>3826469.1151371151</c:v>
                </c:pt>
                <c:pt idx="9">
                  <c:v>3735569.1151371151</c:v>
                </c:pt>
                <c:pt idx="10">
                  <c:v>3652520.1782001783</c:v>
                </c:pt>
                <c:pt idx="11">
                  <c:v>3820793.452925453</c:v>
                </c:pt>
                <c:pt idx="12">
                  <c:v>4112131.8493218492</c:v>
                </c:pt>
                <c:pt idx="13">
                  <c:v>4004267.1826551827</c:v>
                </c:pt>
                <c:pt idx="14">
                  <c:v>3890365.5790515789</c:v>
                </c:pt>
                <c:pt idx="15">
                  <c:v>3761950.9123849124</c:v>
                </c:pt>
                <c:pt idx="16">
                  <c:v>2917999.3087813091</c:v>
                </c:pt>
                <c:pt idx="17">
                  <c:v>2528630.0706860712</c:v>
                </c:pt>
                <c:pt idx="18">
                  <c:v>2390460.4670824674</c:v>
                </c:pt>
                <c:pt idx="19">
                  <c:v>2928443.5504158009</c:v>
                </c:pt>
                <c:pt idx="20">
                  <c:v>2771773.9468121971</c:v>
                </c:pt>
                <c:pt idx="21">
                  <c:v>2631211.2801455306</c:v>
                </c:pt>
                <c:pt idx="22">
                  <c:v>2326511.6765419268</c:v>
                </c:pt>
                <c:pt idx="23">
                  <c:v>2055820.4384466887</c:v>
                </c:pt>
                <c:pt idx="24">
                  <c:v>1847344.8348430851</c:v>
                </c:pt>
                <c:pt idx="25">
                  <c:v>1705756.1681764184</c:v>
                </c:pt>
                <c:pt idx="26">
                  <c:v>1563730.5645728149</c:v>
                </c:pt>
                <c:pt idx="27">
                  <c:v>1401591.8979061481</c:v>
                </c:pt>
                <c:pt idx="28">
                  <c:v>524516.29430254444</c:v>
                </c:pt>
                <c:pt idx="29">
                  <c:v>10324449.056207305</c:v>
                </c:pt>
                <c:pt idx="30">
                  <c:v>10139145.452603702</c:v>
                </c:pt>
                <c:pt idx="31">
                  <c:v>12925648.785937035</c:v>
                </c:pt>
                <c:pt idx="32">
                  <c:v>12529645.182333432</c:v>
                </c:pt>
                <c:pt idx="33">
                  <c:v>12358528.515666766</c:v>
                </c:pt>
                <c:pt idx="34">
                  <c:v>12192474.912063163</c:v>
                </c:pt>
                <c:pt idx="35">
                  <c:v>11596858.245396497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E-46B0-A00E-0EFB5FDBF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027872"/>
        <c:axId val="1892314496"/>
      </c:lineChart>
      <c:catAx>
        <c:axId val="186902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92314496"/>
        <c:crosses val="autoZero"/>
        <c:auto val="1"/>
        <c:lblAlgn val="ctr"/>
        <c:lblOffset val="100"/>
        <c:noMultiLvlLbl val="0"/>
      </c:catAx>
      <c:valAx>
        <c:axId val="18923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6902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Revenue</a:t>
            </a:r>
            <a:r>
              <a:rPr lang="da-DK" baseline="0"/>
              <a:t> and Manufacturing costs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'Graphs for slides'!$AB$5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'Graphs for slides'!$AC$3:$AM$3</c:f>
              <c:numCache>
                <c:formatCode>General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'Graphs for slides'!$AC$5:$AM$5</c:f>
              <c:numCache>
                <c:formatCode>_-[$$-409]* #,##0_ ;_-[$$-409]* \-#,##0\ ;_-[$$-409]* "-"??_ ;_-@_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8-4A8F-BCBF-31AB34744664}"/>
            </c:ext>
          </c:extLst>
        </c:ser>
        <c:ser>
          <c:idx val="1"/>
          <c:order val="1"/>
          <c:tx>
            <c:strRef>
              <c:f>'Graphs for slides'!$AB$6</c:f>
              <c:strCache>
                <c:ptCount val="1"/>
                <c:pt idx="0">
                  <c:v>COGS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'Graphs for slides'!$AC$3:$AM$3</c:f>
              <c:numCache>
                <c:formatCode>General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'Graphs for slides'!$AC$6:$AM$6</c:f>
              <c:numCache>
                <c:formatCode>_-[$$-409]* #,##0_ ;_-[$$-409]* \-#,##0\ ;_-[$$-409]* "-"??_ ;_-@_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8-4A8F-BCBF-31AB3474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800687"/>
        <c:axId val="1133268111"/>
      </c:lineChart>
      <c:catAx>
        <c:axId val="143080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33268111"/>
        <c:crosses val="autoZero"/>
        <c:auto val="1"/>
        <c:lblAlgn val="ctr"/>
        <c:lblOffset val="100"/>
        <c:noMultiLvlLbl val="0"/>
      </c:catAx>
      <c:valAx>
        <c:axId val="1133268111"/>
        <c:scaling>
          <c:orientation val="minMax"/>
          <c:max val="1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3080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EBIT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EBIT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'Graphs for slides'!$AC$3:$AM$3</c:f>
              <c:numCache>
                <c:formatCode>General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'Graphs for slides'!$AC$4:$AM$4</c:f>
              <c:numCache>
                <c:formatCode>_-[$$-409]* #,##0_ ;_-[$$-409]* \-#,##0\ ;_-[$$-409]* "-"??_ ;_-@_ </c:formatCode>
                <c:ptCount val="11"/>
                <c:pt idx="0">
                  <c:v>-620242.23938223941</c:v>
                </c:pt>
                <c:pt idx="1">
                  <c:v>-2682516.7644787645</c:v>
                </c:pt>
                <c:pt idx="2">
                  <c:v>-3360375.1930501931</c:v>
                </c:pt>
                <c:pt idx="3">
                  <c:v>-5330563.3764921166</c:v>
                </c:pt>
                <c:pt idx="4">
                  <c:v>-7400857.6402871627</c:v>
                </c:pt>
                <c:pt idx="5">
                  <c:v>-5474301.624628379</c:v>
                </c:pt>
                <c:pt idx="6">
                  <c:v>-4212661.9073412167</c:v>
                </c:pt>
                <c:pt idx="7">
                  <c:v>931945.59861841192</c:v>
                </c:pt>
                <c:pt idx="8">
                  <c:v>10038080.306978378</c:v>
                </c:pt>
                <c:pt idx="9">
                  <c:v>43071374.391582467</c:v>
                </c:pt>
                <c:pt idx="10">
                  <c:v>81079066.39343603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6-4E99-95B8-1D7180456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800687"/>
        <c:axId val="1133268111"/>
      </c:lineChart>
      <c:catAx>
        <c:axId val="143080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33268111"/>
        <c:crosses val="autoZero"/>
        <c:auto val="1"/>
        <c:lblAlgn val="ctr"/>
        <c:lblOffset val="100"/>
        <c:noMultiLvlLbl val="0"/>
      </c:catAx>
      <c:valAx>
        <c:axId val="1133268111"/>
        <c:scaling>
          <c:orientation val="minMax"/>
          <c:max val="9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3080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Farmin</a:t>
            </a:r>
            <a:r>
              <a:rPr lang="da-DK" baseline="0"/>
              <a:t> U</a:t>
            </a:r>
            <a:r>
              <a:rPr lang="da-DK"/>
              <a:t>nits produced and cost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'Graphs for slides'!$AB$8</c:f>
              <c:strCache>
                <c:ptCount val="1"/>
                <c:pt idx="0">
                  <c:v>COGS of units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'Graphs for slides'!$AC$3:$AM$3</c15:sqref>
                  </c15:fullRef>
                </c:ext>
              </c:extLst>
              <c:f>'Graphs for slides'!$AF$3:$AM$3</c:f>
              <c:numCache>
                <c:formatCode>General</c:formatCode>
                <c:ptCount val="8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'Graphs for slides'!$AC$8:$AM$8</c15:sqref>
                  </c15:fullRef>
                </c:ext>
              </c:extLst>
              <c:f>'Graphs for slides'!$AF$8:$AM$8</c:f>
              <c:numCache>
                <c:formatCode>_-[$$-409]* #,##0_ ;_-[$$-409]* \-#,##0\ ;_-[$$-409]* "-"??_ ;_-@_ </c:formatCode>
                <c:ptCount val="8"/>
                <c:pt idx="0">
                  <c:v>665000</c:v>
                </c:pt>
                <c:pt idx="1">
                  <c:v>339450</c:v>
                </c:pt>
                <c:pt idx="2">
                  <c:v>284700</c:v>
                </c:pt>
                <c:pt idx="3">
                  <c:v>219000</c:v>
                </c:pt>
                <c:pt idx="4">
                  <c:v>175200</c:v>
                </c:pt>
                <c:pt idx="5">
                  <c:v>153300.00000000003</c:v>
                </c:pt>
                <c:pt idx="6">
                  <c:v>142350</c:v>
                </c:pt>
                <c:pt idx="7">
                  <c:v>131400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6-4308-A0A8-448EFA4F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0800687"/>
        <c:axId val="1133268111"/>
      </c:lineChart>
      <c:lineChart>
        <c:grouping val="standard"/>
        <c:varyColors val="0"/>
        <c:ser>
          <c:idx val="1"/>
          <c:order val="1"/>
          <c:tx>
            <c:v>Farming units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'Graphs for slides'!$AC$3:$AM$3</c15:sqref>
                  </c15:fullRef>
                </c:ext>
              </c:extLst>
              <c:f>'Graphs for slides'!$AF$3:$AM$3</c:f>
              <c:numCache>
                <c:formatCode>General</c:formatCode>
                <c:ptCount val="8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'Graphs for slides'!$AC$7:$AM$7</c15:sqref>
                  </c15:fullRef>
                </c:ext>
              </c:extLst>
              <c:f>'Graphs for slides'!$AF$7:$AM$7</c:f>
              <c:numCache>
                <c:formatCode>_-[$$-409]* #,##0_ ;_-[$$-409]* \-#,##0\ ;_-[$$-409]* "-"??_ ;_-@_ </c:formatCode>
                <c:ptCount val="8"/>
                <c:pt idx="0">
                  <c:v>3</c:v>
                </c:pt>
                <c:pt idx="1">
                  <c:v>7</c:v>
                </c:pt>
                <c:pt idx="2">
                  <c:v>12</c:v>
                </c:pt>
                <c:pt idx="3">
                  <c:v>25</c:v>
                </c:pt>
                <c:pt idx="4">
                  <c:v>50</c:v>
                </c:pt>
                <c:pt idx="5">
                  <c:v>75</c:v>
                </c:pt>
                <c:pt idx="6">
                  <c:v>112.5</c:v>
                </c:pt>
                <c:pt idx="7">
                  <c:v>168.75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26-4308-A0A8-448EFA4F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33648"/>
        <c:axId val="168931728"/>
      </c:lineChart>
      <c:catAx>
        <c:axId val="1430800687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33268111"/>
        <c:crosses val="autoZero"/>
        <c:auto val="1"/>
        <c:lblAlgn val="ctr"/>
        <c:lblOffset val="100"/>
        <c:noMultiLvlLbl val="0"/>
      </c:catAx>
      <c:valAx>
        <c:axId val="113326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30800687"/>
        <c:crosses val="autoZero"/>
        <c:crossBetween val="between"/>
      </c:valAx>
      <c:valAx>
        <c:axId val="16893172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8933648"/>
        <c:crosses val="max"/>
        <c:crossBetween val="between"/>
      </c:valAx>
      <c:catAx>
        <c:axId val="16893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93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</xdr:colOff>
      <xdr:row>10</xdr:row>
      <xdr:rowOff>118108</xdr:rowOff>
    </xdr:from>
    <xdr:to>
      <xdr:col>10</xdr:col>
      <xdr:colOff>22860</xdr:colOff>
      <xdr:row>12</xdr:row>
      <xdr:rowOff>38099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F835CD-13DA-25C9-DE07-5F04B4983FA4}"/>
            </a:ext>
          </a:extLst>
        </xdr:cNvPr>
        <xdr:cNvSpPr/>
      </xdr:nvSpPr>
      <xdr:spPr>
        <a:xfrm>
          <a:off x="232410" y="3501388"/>
          <a:ext cx="11144250" cy="316231"/>
        </a:xfrm>
        <a:prstGeom prst="roundRect">
          <a:avLst/>
        </a:prstGeom>
        <a:solidFill>
          <a:srgbClr val="2C7C3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de-DE" sz="1800"/>
            <a:t>-- Press "</a:t>
          </a:r>
          <a:r>
            <a:rPr lang="de-DE" sz="1800" b="1"/>
            <a:t>Ctrl</a:t>
          </a:r>
          <a:r>
            <a:rPr lang="de-DE" sz="1800"/>
            <a:t>" &amp; "</a:t>
          </a:r>
          <a:r>
            <a:rPr lang="de-DE" sz="1800" b="1"/>
            <a:t>h</a:t>
          </a:r>
          <a:r>
            <a:rPr lang="de-DE" sz="1800"/>
            <a:t>" at the same time to apply pricing model choice changes --</a:t>
          </a:r>
        </a:p>
      </xdr:txBody>
    </xdr:sp>
    <xdr:clientData/>
  </xdr:twoCellAnchor>
  <xdr:twoCellAnchor>
    <xdr:from>
      <xdr:col>2</xdr:col>
      <xdr:colOff>38098</xdr:colOff>
      <xdr:row>1</xdr:row>
      <xdr:rowOff>28576</xdr:rowOff>
    </xdr:from>
    <xdr:to>
      <xdr:col>2</xdr:col>
      <xdr:colOff>293908</xdr:colOff>
      <xdr:row>1</xdr:row>
      <xdr:rowOff>288196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E304E24-12BC-3112-B660-270D37F290E1}"/>
            </a:ext>
          </a:extLst>
        </xdr:cNvPr>
        <xdr:cNvSpPr/>
      </xdr:nvSpPr>
      <xdr:spPr>
        <a:xfrm>
          <a:off x="257173" y="238126"/>
          <a:ext cx="255810" cy="259620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49528</xdr:colOff>
      <xdr:row>7</xdr:row>
      <xdr:rowOff>32386</xdr:rowOff>
    </xdr:from>
    <xdr:to>
      <xdr:col>2</xdr:col>
      <xdr:colOff>309148</xdr:colOff>
      <xdr:row>7</xdr:row>
      <xdr:rowOff>290101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8667CCA-6A55-4D87-8C5D-45BB05922482}"/>
            </a:ext>
          </a:extLst>
        </xdr:cNvPr>
        <xdr:cNvSpPr/>
      </xdr:nvSpPr>
      <xdr:spPr>
        <a:xfrm>
          <a:off x="270508" y="2127886"/>
          <a:ext cx="259620" cy="25771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2</xdr:col>
      <xdr:colOff>66675</xdr:colOff>
      <xdr:row>1</xdr:row>
      <xdr:rowOff>57150</xdr:rowOff>
    </xdr:from>
    <xdr:to>
      <xdr:col>2</xdr:col>
      <xdr:colOff>268605</xdr:colOff>
      <xdr:row>1</xdr:row>
      <xdr:rowOff>249555</xdr:rowOff>
    </xdr:to>
    <xdr:pic>
      <xdr:nvPicPr>
        <xdr:cNvPr id="7" name="Graphic 6" descr="Farm scene with solid fill">
          <a:extLst>
            <a:ext uri="{FF2B5EF4-FFF2-40B4-BE49-F238E27FC236}">
              <a16:creationId xmlns:a16="http://schemas.microsoft.com/office/drawing/2014/main" id="{D9E6A38C-F873-E2BE-A17A-AA0354A37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50" y="266700"/>
          <a:ext cx="201930" cy="201930"/>
        </a:xfrm>
        <a:prstGeom prst="rect">
          <a:avLst/>
        </a:prstGeom>
      </xdr:spPr>
    </xdr:pic>
    <xdr:clientData/>
  </xdr:twoCellAnchor>
  <xdr:twoCellAnchor editAs="oneCell">
    <xdr:from>
      <xdr:col>2</xdr:col>
      <xdr:colOff>81915</xdr:colOff>
      <xdr:row>7</xdr:row>
      <xdr:rowOff>57151</xdr:rowOff>
    </xdr:from>
    <xdr:to>
      <xdr:col>2</xdr:col>
      <xdr:colOff>287931</xdr:colOff>
      <xdr:row>7</xdr:row>
      <xdr:rowOff>249556</xdr:rowOff>
    </xdr:to>
    <xdr:pic>
      <xdr:nvPicPr>
        <xdr:cNvPr id="9" name="Graphic 8" descr="Factory with solid fill">
          <a:extLst>
            <a:ext uri="{FF2B5EF4-FFF2-40B4-BE49-F238E27FC236}">
              <a16:creationId xmlns:a16="http://schemas.microsoft.com/office/drawing/2014/main" id="{4FC5ED1B-2133-249D-5DE3-96D4DDFF2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02895" y="2152651"/>
          <a:ext cx="202206" cy="200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619124</xdr:colOff>
      <xdr:row>2</xdr:row>
      <xdr:rowOff>133350</xdr:rowOff>
    </xdr:from>
    <xdr:to>
      <xdr:col>20</xdr:col>
      <xdr:colOff>373380</xdr:colOff>
      <xdr:row>20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C5C967-6C9B-4A98-A748-625EB6082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617220</xdr:colOff>
      <xdr:row>21</xdr:row>
      <xdr:rowOff>152400</xdr:rowOff>
    </xdr:from>
    <xdr:to>
      <xdr:col>20</xdr:col>
      <xdr:colOff>373381</xdr:colOff>
      <xdr:row>39</xdr:row>
      <xdr:rowOff>156209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7BBA44-2DEC-4C8D-A1EB-C83DE516B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45</xdr:row>
      <xdr:rowOff>116205</xdr:rowOff>
    </xdr:from>
    <xdr:to>
      <xdr:col>10</xdr:col>
      <xdr:colOff>215266</xdr:colOff>
      <xdr:row>63</xdr:row>
      <xdr:rowOff>112394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378CB3F-EB09-4CF7-A89C-818D6A276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180975</xdr:colOff>
      <xdr:row>2</xdr:row>
      <xdr:rowOff>133350</xdr:rowOff>
    </xdr:from>
    <xdr:to>
      <xdr:col>10</xdr:col>
      <xdr:colOff>259081</xdr:colOff>
      <xdr:row>20</xdr:row>
      <xdr:rowOff>108584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3A1C2EF-FBEF-4350-A6F8-84B169141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21</xdr:row>
      <xdr:rowOff>129540</xdr:rowOff>
    </xdr:from>
    <xdr:to>
      <xdr:col>10</xdr:col>
      <xdr:colOff>295276</xdr:colOff>
      <xdr:row>39</xdr:row>
      <xdr:rowOff>133349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ED54B04-6E02-4CE4-841E-6294E9772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46</xdr:row>
      <xdr:rowOff>0</xdr:rowOff>
    </xdr:from>
    <xdr:to>
      <xdr:col>20</xdr:col>
      <xdr:colOff>409576</xdr:colOff>
      <xdr:row>63</xdr:row>
      <xdr:rowOff>196214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0FCA277-444A-446F-9E8F-70C626D79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71</xdr:row>
      <xdr:rowOff>0</xdr:rowOff>
    </xdr:from>
    <xdr:to>
      <xdr:col>22</xdr:col>
      <xdr:colOff>12700</xdr:colOff>
      <xdr:row>98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D0643B-E664-4176-B584-59CAE1100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71</xdr:row>
      <xdr:rowOff>0</xdr:rowOff>
    </xdr:from>
    <xdr:to>
      <xdr:col>13</xdr:col>
      <xdr:colOff>0</xdr:colOff>
      <xdr:row>98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9B60A6-D0D7-4C4B-80E6-1875D934B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598170</xdr:colOff>
      <xdr:row>1</xdr:row>
      <xdr:rowOff>171450</xdr:rowOff>
    </xdr:from>
    <xdr:to>
      <xdr:col>9</xdr:col>
      <xdr:colOff>244343</xdr:colOff>
      <xdr:row>41</xdr:row>
      <xdr:rowOff>55894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5AC58E78-DF2B-DD87-C2C0-90B7B7690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" y="371475"/>
          <a:ext cx="5814563" cy="7498729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</xdr:colOff>
      <xdr:row>15</xdr:row>
      <xdr:rowOff>45720</xdr:rowOff>
    </xdr:from>
    <xdr:to>
      <xdr:col>14</xdr:col>
      <xdr:colOff>592779</xdr:colOff>
      <xdr:row>28</xdr:row>
      <xdr:rowOff>34502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8817CC-F228-19A2-396A-C128E960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84645" y="3046095"/>
          <a:ext cx="3671259" cy="25891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311067</xdr:colOff>
      <xdr:row>1</xdr:row>
      <xdr:rowOff>19174</xdr:rowOff>
    </xdr:from>
    <xdr:to>
      <xdr:col>7</xdr:col>
      <xdr:colOff>516055</xdr:colOff>
      <xdr:row>17</xdr:row>
      <xdr:rowOff>81394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87260A-1FC2-45C3-AFD8-0359ACE77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354574</xdr:colOff>
      <xdr:row>1</xdr:row>
      <xdr:rowOff>7210</xdr:rowOff>
    </xdr:from>
    <xdr:to>
      <xdr:col>16</xdr:col>
      <xdr:colOff>320224</xdr:colOff>
      <xdr:row>17</xdr:row>
      <xdr:rowOff>73240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74F209-81BF-4238-BDF0-70B291291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82013</xdr:colOff>
      <xdr:row>1</xdr:row>
      <xdr:rowOff>15790</xdr:rowOff>
    </xdr:from>
    <xdr:to>
      <xdr:col>24</xdr:col>
      <xdr:colOff>656127</xdr:colOff>
      <xdr:row>17</xdr:row>
      <xdr:rowOff>81820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B28D57-A26A-4693-B109-6C6493C7C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220283</xdr:colOff>
      <xdr:row>3</xdr:row>
      <xdr:rowOff>51210</xdr:rowOff>
    </xdr:from>
    <xdr:to>
      <xdr:col>22</xdr:col>
      <xdr:colOff>474535</xdr:colOff>
      <xdr:row>5</xdr:row>
      <xdr:rowOff>109136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926FA70-6857-4C4D-B645-CBB9AB4E557F}"/>
            </a:ext>
          </a:extLst>
        </xdr:cNvPr>
        <xdr:cNvSpPr txBox="1"/>
      </xdr:nvSpPr>
      <xdr:spPr>
        <a:xfrm>
          <a:off x="13329960" y="635000"/>
          <a:ext cx="1565220" cy="447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accent3"/>
              </a:solidFill>
            </a:rPr>
            <a:t>Expensive hand-built pilots and FOAK. &lt;10 units</a:t>
          </a:r>
        </a:p>
      </xdr:txBody>
    </xdr:sp>
    <xdr:clientData/>
  </xdr:twoCellAnchor>
  <xdr:twoCellAnchor>
    <xdr:from>
      <xdr:col>18</xdr:col>
      <xdr:colOff>112661</xdr:colOff>
      <xdr:row>3</xdr:row>
      <xdr:rowOff>93466</xdr:rowOff>
    </xdr:from>
    <xdr:to>
      <xdr:col>20</xdr:col>
      <xdr:colOff>207891</xdr:colOff>
      <xdr:row>9</xdr:row>
      <xdr:rowOff>122903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52656EF-D57B-4168-A493-4F7C92BFF2E2}"/>
            </a:ext>
          </a:extLst>
        </xdr:cNvPr>
        <xdr:cNvSpPr/>
      </xdr:nvSpPr>
      <xdr:spPr>
        <a:xfrm>
          <a:off x="12003548" y="692619"/>
          <a:ext cx="1416440" cy="1227744"/>
        </a:xfrm>
        <a:prstGeom prst="ellipse">
          <a:avLst/>
        </a:prstGeom>
        <a:noFill/>
        <a:ln w="28575">
          <a:solidFill>
            <a:schemeClr val="accent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cha Silas Langenberg" id="{E0D4D1D6-E43B-48C5-956A-772586CDA903}" userId="S::jsl@nitrovolt.com::4d623907-395b-451a-ac07-4790674a3d42" providerId="AD"/>
  <person displayName="Suzanne Zamany Andersen" id="{753B919D-DE76-4989-9331-36B7A7F592C1}" userId="S::sza@nitrovolt.com::9d4416ee-9724-496b-af34-b1db65e98031" providerId="AD"/>
  <person displayName="Francisco Perez-Ojeda Rodriguez" id="{84877992-EB24-4105-B981-1A45B520DA6F}" userId="S::francisco.perez-ojedarodriguez@befellows.org::578c8238-b481-4294-bdf7-3bfed0959892" providerId="AD"/>
  <person displayName="Francisco Perez-Ojeda Rodriguez" id="{B6CC8CCF-D0FA-4F46-BAA6-84EE1036BFFE}" userId="S::francisco.perez-ojedarodriguez_befellows.org#ext#@nitrovolt.onmicrosoft.com::880edb8b-edd4-4df5-ae28-ea54e91a5c8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4" dT="2024-10-04T12:37:35.34" personId="{E0D4D1D6-E43B-48C5-956A-772586CDA903}" id="{DC6765B0-3A33-48B0-A5D5-49F2CA51143C}">
    <text>Make sure to aufmerksammachen to TEA breaking down below 10 units</text>
  </threadedComment>
  <threadedComment ref="C33" dT="2024-10-04T12:37:35.34" personId="{E0D4D1D6-E43B-48C5-956A-772586CDA903}" id="{00CAADBB-62C4-4F2B-8EC8-5530D4E43575}">
    <text>Make sure to aufmerksammachen to TEA breaking down below 10 units</text>
  </threadedComment>
  <threadedComment ref="C39" dT="2024-10-04T12:37:35.34" personId="{E0D4D1D6-E43B-48C5-956A-772586CDA903}" id="{887F6D8C-FF28-4695-9B49-3FE2911D33E6}">
    <text>Make sure to aufmerksammachen to TEA breaking down below 10 units</text>
  </threadedComment>
  <threadedComment ref="C48" dT="2024-10-04T12:37:35.34" personId="{E0D4D1D6-E43B-48C5-956A-772586CDA903}" id="{C48D1B8C-C558-4A1F-8605-B11B12212C44}">
    <text>Make sure to aufmerksammachen to TEA breaking down below 10 units</text>
  </threadedComment>
  <threadedComment ref="C58" dT="2024-10-04T12:37:35.34" personId="{E0D4D1D6-E43B-48C5-956A-772586CDA903}" id="{D4D2CB53-F692-4771-8315-5B75F6F743D8}">
    <text>Make sure to aufmerksammachen to TEA breaking down below 10 units</text>
  </threadedComment>
  <threadedComment ref="C67" dT="2024-10-04T12:37:35.34" personId="{E0D4D1D6-E43B-48C5-956A-772586CDA903}" id="{2960243B-FBE4-4D83-97B0-1B4A5AB781B0}">
    <text>Make sure to aufmerksammachen to TEA breaking down below 10 units</text>
  </threadedComment>
  <threadedComment ref="C77" dT="2024-10-04T12:37:35.34" personId="{E0D4D1D6-E43B-48C5-956A-772586CDA903}" id="{C534B7F6-1162-4B63-A8B1-9A8734ACFF4C}">
    <text>Make sure to aufmerksammachen to TEA breaking down below 10 units</text>
  </threadedComment>
  <threadedComment ref="T81" dT="2024-10-05T15:54:54.85" personId="{E0D4D1D6-E43B-48C5-956A-772586CDA903}" id="{A7EEB0B6-15EF-4F4D-B3BA-C68718B7D7BD}">
    <text>https://chatgpt.com/c/66ffb579-0b50-8007-ab47-ec189b133a74</text>
    <extLst>
      <x:ext xmlns:xltc2="http://schemas.microsoft.com/office/spreadsheetml/2020/threadedcomments2" uri="{F7C98A9C-CBB3-438F-8F68-D28B6AF4A901}">
        <xltc2:checksum>1197981880</xltc2:checksum>
        <xltc2:hyperlink startIndex="0" length="58" url="https://chatgpt.com/c/66ffb579-0b50-8007-ab47-ec189b133a74"/>
      </x:ext>
    </extLst>
  </threadedComment>
  <threadedComment ref="T82" dT="2024-10-05T15:54:54.85" personId="{E0D4D1D6-E43B-48C5-956A-772586CDA903}" id="{E0E8C0B7-3B08-47B1-9283-2F845C41A397}">
    <text>https://chatgpt.com/c/66ffb579-0b50-8007-ab47-ec189b133a74</text>
    <extLst>
      <x:ext xmlns:xltc2="http://schemas.microsoft.com/office/spreadsheetml/2020/threadedcomments2" uri="{F7C98A9C-CBB3-438F-8F68-D28B6AF4A901}">
        <xltc2:checksum>1197981880</xltc2:checksum>
        <xltc2:hyperlink startIndex="0" length="58" url="https://chatgpt.com/c/66ffb579-0b50-8007-ab47-ec189b133a74"/>
      </x:ext>
    </extLst>
  </threadedComment>
  <threadedComment ref="J92" dT="2024-08-13T08:25:47.21" personId="{753B919D-DE76-4989-9331-36B7A7F592C1}" id="{4FAD53FF-E491-4DA2-9751-DC733767FA5A}">
    <text xml:space="preserve">We intend to stagger this so the customer pays an upfront 10% payment (pre-purchase agreements we intend to set up during the Series A), then 40% upon delivery, and the remaining 50% when the unit is installed and operational. </text>
  </threadedComment>
  <threadedComment ref="K92" dT="2024-08-13T08:25:47.21" personId="{753B919D-DE76-4989-9331-36B7A7F592C1}" id="{E4297F51-34CE-446F-9FD9-DE78BF793F76}">
    <text xml:space="preserve">We intend to stagger this so the customer pays an upfront 10% payment (pre-purchase agreements we intend to set up during the Series A), then 40% upon delivery, and the remaining 50% when the unit is installed and operational. </text>
  </threadedComment>
  <threadedComment ref="C99" dT="2024-09-29T13:44:29.00" personId="{E0D4D1D6-E43B-48C5-956A-772586CDA903}" id="{CDB65407-ED25-47BF-BF22-ABCE8E40F68C}">
    <text>The lump sum payment is recognized either fully upfront (if it covers the delivery and setup of the unit) or partially deferred if it also includes a prepayment for future services</text>
  </threadedComment>
  <threadedComment ref="C101" dT="2024-09-29T13:44:39.56" personId="{E0D4D1D6-E43B-48C5-956A-772586CDA903}" id="{A953258E-0147-4862-A711-801FBEB63A72}">
    <text xml:space="preserve">The lump sum payment is recognized either fully upfront (if it covers the delivery and setup of the unit) or partially deferred if it also includes a prepayment for future services
</text>
  </threadedComment>
  <threadedComment ref="C103" dT="2024-09-29T13:44:43.52" personId="{E0D4D1D6-E43B-48C5-956A-772586CDA903}" id="{2226722D-2C8F-4F69-8BBA-FCDDF2F28B63}">
    <text xml:space="preserve">The lump sum payment is recognized either fully upfront (if it covers the delivery and setup of the unit) or partially deferred if it also includes a prepayment for future services
</text>
  </threadedComment>
  <threadedComment ref="H108" dT="2024-09-28T21:11:50.94" personId="{E0D4D1D6-E43B-48C5-956A-772586CDA903}" id="{542A9E15-B75D-44C9-9695-E29EA8743AEF}">
    <text>Simplifying means costs get higher as yearly taken &amp; no staggering accounted for</text>
  </threadedComment>
  <threadedComment ref="C121" dT="2024-09-29T15:25:20.28" personId="{E0D4D1D6-E43B-48C5-956A-772586CDA903}" id="{A3013870-2868-4D95-8F1F-7CF8A18D9C5B}">
    <text>How about we do it as fraction of total payment?</text>
  </threadedComment>
  <threadedComment ref="C181" dT="2024-10-04T12:37:35.34" personId="{E0D4D1D6-E43B-48C5-956A-772586CDA903}" id="{2C65768B-BAE0-4925-998C-D498296F093F}">
    <text>Make sure to aufmerksammachen to TEA breaking down below 10 units</text>
  </threadedComment>
  <threadedComment ref="C191" dT="2024-10-04T12:37:35.34" personId="{E0D4D1D6-E43B-48C5-956A-772586CDA903}" id="{150C0B75-A704-4FD5-BF1F-1C8AD94AF19F}">
    <text>Make sure to aufmerksammachen to TEA breaking down below 10 units</text>
  </threadedComment>
  <threadedComment ref="C197" dT="2024-10-04T12:37:35.34" personId="{E0D4D1D6-E43B-48C5-956A-772586CDA903}" id="{E27FB91C-8151-4BD5-AF3C-BEF943DDDD85}">
    <text>Make sure to aufmerksammachen to TEA breaking down below 10 units</text>
  </threadedComment>
  <threadedComment ref="C206" dT="2024-10-04T12:37:35.34" personId="{E0D4D1D6-E43B-48C5-956A-772586CDA903}" id="{25022E94-C67F-482B-BC49-B2B88EF6BE51}">
    <text>Make sure to aufmerksammachen to TEA breaking down below 10 units</text>
  </threadedComment>
  <threadedComment ref="C216" dT="2024-10-04T12:37:35.34" personId="{E0D4D1D6-E43B-48C5-956A-772586CDA903}" id="{8B1DD11E-C66F-4E2B-9CE1-77972E202FB6}">
    <text>Make sure to aufmerksammachen to TEA breaking down below 10 units</text>
  </threadedComment>
  <threadedComment ref="C225" dT="2024-10-04T12:37:35.34" personId="{E0D4D1D6-E43B-48C5-956A-772586CDA903}" id="{6E284DEE-E763-49E5-9059-367A41338876}">
    <text>Make sure to aufmerksammachen to TEA breaking down below 10 units</text>
  </threadedComment>
  <threadedComment ref="C235" dT="2024-10-04T12:37:35.34" personId="{E0D4D1D6-E43B-48C5-956A-772586CDA903}" id="{59894CF4-D025-4F95-AA0C-0412040117DC}">
    <text>Make sure to aufmerksammachen to TEA breaking down below 10 units</text>
  </threadedComment>
  <threadedComment ref="J251" dT="2024-08-13T08:25:47.21" personId="{753B919D-DE76-4989-9331-36B7A7F592C1}" id="{AFDA3F01-9BD8-4FC4-862E-655854B67C5B}">
    <text xml:space="preserve">We intend to stagger this so the customer pays an upfront 10% payment (pre-purchase agreements we intend to set up during the Series A), then 40% upon delivery, and the remaining 50% when the unit is installed and operational. </text>
  </threadedComment>
  <threadedComment ref="K251" dT="2024-08-13T08:25:47.21" personId="{753B919D-DE76-4989-9331-36B7A7F592C1}" id="{22CDB216-35D8-406B-907A-176B8DEFDC52}">
    <text xml:space="preserve">We intend to stagger this so the customer pays an upfront 10% payment (pre-purchase agreements we intend to set up during the Series A), then 40% upon delivery, and the remaining 50% when the unit is installed and operational. </text>
  </threadedComment>
  <threadedComment ref="C259" dT="2024-09-29T13:44:29.00" personId="{E0D4D1D6-E43B-48C5-956A-772586CDA903}" id="{B8C3FEFC-F388-45DC-9CC1-407D68A9AA64}">
    <text>The lump sum payment is recognized either fully upfront (if it covers the delivery and setup of the unit) or partially deferred if it also includes a prepayment for future services</text>
  </threadedComment>
  <threadedComment ref="C261" dT="2024-09-29T13:44:39.56" personId="{E0D4D1D6-E43B-48C5-956A-772586CDA903}" id="{5381BCDB-B20D-468F-B434-CD5F3BEB827F}">
    <text xml:space="preserve">The lump sum payment is recognized either fully upfront (if it covers the delivery and setup of the unit) or partially deferred if it also includes a prepayment for future services
</text>
  </threadedComment>
  <threadedComment ref="C263" dT="2024-09-29T13:44:43.52" personId="{E0D4D1D6-E43B-48C5-956A-772586CDA903}" id="{B85B65DA-5F03-4CD4-AFAF-3058CE24D8D1}">
    <text xml:space="preserve">The lump sum payment is recognized either fully upfront (if it covers the delivery and setup of the unit) or partially deferred if it also includes a prepayment for future services
</text>
  </threadedComment>
  <threadedComment ref="H268" dT="2024-09-28T21:11:50.94" personId="{E0D4D1D6-E43B-48C5-956A-772586CDA903}" id="{CE790EE9-D4E7-4DB5-8F00-69257BC95F72}">
    <text>Simplifying means costs get higher as yearly taken &amp; no staggering accounted for</text>
  </threadedComment>
  <threadedComment ref="C285" dT="2024-09-29T15:25:20.28" personId="{E0D4D1D6-E43B-48C5-956A-772586CDA903}" id="{3C9F660C-23F7-4923-AC17-C198994E869F}">
    <text>How about we do it as fraction of total payment?</text>
  </threadedComment>
  <threadedComment ref="I344" dT="2024-08-15T10:32:05.88" personId="{753B919D-DE76-4989-9331-36B7A7F592C1}" id="{7C722222-1320-4AE0-9D9D-D22CB1FAA448}">
    <text>Series B</text>
  </threadedComment>
  <threadedComment ref="J345" dT="2024-08-07T16:33:02.22" personId="{753B919D-DE76-4989-9331-36B7A7F592C1}" id="{83B2258E-FD83-4DFB-9710-1ABCD9110489}">
    <text>Assumes 5% interest - see Bank Loan sheet</text>
  </threadedComment>
  <threadedComment ref="H346" dT="2024-08-15T07:43:15.02" personId="{753B919D-DE76-4989-9331-36B7A7F592C1}" id="{D726A89F-1185-4BBC-A674-7C6911615B47}">
    <text>Presumably we would get a bank loan to pay for the production hall</text>
  </threadedComment>
  <threadedComment ref="A347" dT="2024-10-06T20:52:41.61" personId="{E0D4D1D6-E43B-48C5-956A-772586CDA903}" id="{F8D0CBB3-5CFF-4EC4-999A-A1E4CD46BB21}">
    <text>Only for farming units rn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0" dT="2024-04-18T14:42:17.97" personId="{84877992-EB24-4105-B981-1A45B520DA6F}" id="{996BA654-43EE-4BAB-80A2-CFE859465932}">
    <text xml:space="preserve">Buildings are not part of the Net Income / profit calculation the affect the balance sheet and the cash flow and apear on the profit only via depreciation - already taken out from total expenses </text>
  </threadedComment>
  <threadedComment ref="G10" dT="2024-08-12T10:14:39.81" personId="{753B919D-DE76-4989-9331-36B7A7F592C1}" id="{0E08607C-8446-4014-ABB4-EDADB32C1B95}">
    <text xml:space="preserve">Purchase a production hall with bank loan. </text>
  </threadedComment>
  <threadedComment ref="H10" dT="2024-08-13T15:05:59.32" personId="{753B919D-DE76-4989-9331-36B7A7F592C1}" id="{49BC0F0E-D0DF-4898-8C65-3484B2BB7BA7}">
    <text>Setting up new equipment to build labs</text>
  </threadedComment>
  <threadedComment ref="D16" dT="2024-08-07T16:28:44.11" personId="{753B919D-DE76-4989-9331-36B7A7F592C1}" id="{CDBB57C4-B65F-4020-92DB-477A6EB2B01B}">
    <text>CLN interest (2% per year on 750k EUR)</text>
  </threadedComment>
  <threadedComment ref="D16" dT="2024-08-12T13:06:20.25" personId="{B6CC8CCF-D0FA-4F46-BAA6-84EE1036BFFE}" id="{B31FED71-7C50-42A9-B0BA-EB1DBA34370D}" parentId="{CDBB57C4-B65F-4020-92DB-477A6EB2B01B}">
    <text>if we want to do the first 3 years monthly then we need to allocate this amount to a month so that it balances with the sum of the year. Who do you pay this interes monthly or yearly?</text>
  </threadedComment>
  <threadedComment ref="I16" dT="2024-08-07T16:33:02.22" personId="{753B919D-DE76-4989-9331-36B7A7F592C1}" id="{8BD56EB9-F21F-48BD-92D0-7AB4FE64188F}">
    <text>Assumes 5% interest - see Bank Loan sheet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65" dT="2024-08-15T07:52:18.52" personId="{753B919D-DE76-4989-9331-36B7A7F592C1}" id="{D97398A4-1BE7-4598-B322-B6945CC7688D}">
    <text xml:space="preserve">Seed round
</text>
  </threadedComment>
  <threadedComment ref="AF65" dT="2024-08-15T08:09:38.79" personId="{753B919D-DE76-4989-9331-36B7A7F592C1}" id="{8A0B324D-DD3E-47B7-8390-4135114BB148}">
    <text xml:space="preserve">Series A
</text>
  </threadedComment>
  <threadedComment ref="M66" dT="2024-08-15T08:10:34.96" personId="{753B919D-DE76-4989-9331-36B7A7F592C1}" id="{0981716B-5C7F-4BD0-A6B2-85E898A9EB8D}">
    <text>EUOpSTART for EuroStars</text>
  </threadedComment>
  <threadedComment ref="N66" dT="2024-08-15T07:52:09.88" personId="{753B919D-DE76-4989-9331-36B7A7F592C1}" id="{745FBB49-36B3-4896-A525-B300E6A57C73}">
    <text>EuroStars</text>
  </threadedComment>
  <threadedComment ref="O66" dT="2024-08-15T07:53:20.78" personId="{753B919D-DE76-4989-9331-36B7A7F592C1}" id="{3558C254-F2AC-4604-AAE5-DE64527C9DA6}">
    <text>GUDP</text>
  </threadedComment>
  <threadedComment ref="V66" dT="2024-08-15T08:11:51.36" personId="{753B919D-DE76-4989-9331-36B7A7F592C1}" id="{7F4CB8C3-6D2E-43AA-8A5F-418BA7D27689}">
    <text>InnoBooster</text>
  </threadedComment>
  <threadedComment ref="AH66" dT="2024-08-15T08:13:53.98" personId="{753B919D-DE76-4989-9331-36B7A7F592C1}" id="{8B8BBF98-60E9-4524-83C9-0DC404F42F7D}">
    <text xml:space="preserve">Grand Solutions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" dT="2024-09-27T08:37:35.34" personId="{E0D4D1D6-E43B-48C5-956A-772586CDA903}" id="{55CF8A4A-4EC2-44EB-8405-8304F355BF80}">
    <text>Essentially, if we assume a unit is not there from the beginning, how much % of the period is left after it arrives?</text>
  </threadedComment>
  <threadedComment ref="AS5" dT="2024-09-27T09:04:45.59" personId="{E0D4D1D6-E43B-48C5-956A-772586CDA903}" id="{609CBC8A-534B-4AEC-B7D4-C73302DB41D9}">
    <text>Down at revenue, it says "assume half a unit" but there was only 25% assumed in the formula - further down at COGS it's 50% again - which is right?</text>
  </threadedComment>
  <threadedComment ref="E15" dT="2024-08-07T13:38:53.76" personId="{753B919D-DE76-4989-9331-36B7A7F592C1}" id="{842735C7-A216-4C75-AF3C-01A0F37E479E}">
    <text>Paid salary for half the year (spinning out July) - end of year 8 full-time, 4 parttime</text>
  </threadedComment>
  <threadedComment ref="AS16" dT="2024-08-15T11:27:51.74" personId="{753B919D-DE76-4989-9331-36B7A7F592C1}" id="{C43999D2-B142-4C92-9BCC-1DCD0735D7B5}">
    <text xml:space="preserve">Assuming half a unit here, because it won't be in operation from the beginning. </text>
  </threadedComment>
  <threadedComment ref="AT16" dT="2024-08-15T11:28:18.95" personId="{753B919D-DE76-4989-9331-36B7A7F592C1}" id="{DC0C7496-9189-4043-8C4B-B5E59AB89FFE}">
    <text>Assuming 1 unit here, as they will be staggered when they become operational.</text>
  </threadedComment>
  <threadedComment ref="AX17" dT="2024-08-13T08:25:47.21" personId="{753B919D-DE76-4989-9331-36B7A7F592C1}" id="{35F66729-E331-4672-8683-B487C01D9651}">
    <text xml:space="preserve">We intend to stagger this so the customer pays an upfront 10% payment (pre-purchase agreements we intend to set up during the Series A), then 40% upon delivery, and the remaining 50% when the unit is installed and operational. </text>
  </threadedComment>
  <threadedComment ref="AV21" dT="2024-08-12T15:32:18.88" personId="{753B919D-DE76-4989-9331-36B7A7F592C1}" id="{5CEF3619-50D1-43BC-8507-CC2925AA60AF}">
    <text xml:space="preserve">The TEA breaks down in the limits of less than 10 total units produced, so the estimation of very few units is based on component cost with a big buffer. </text>
  </threadedComment>
  <threadedComment ref="AR23" dT="2024-08-06T14:05:15.76" personId="{84877992-EB24-4105-B981-1A45B520DA6F}" id="{C91923B6-06AA-4170-90CC-BDFAEA69D009}">
    <text xml:space="preserve">Staggered in the first 2 years, y1 1.5 units operating 
</text>
  </threadedComment>
  <threadedComment ref="AU24" dT="2024-08-07T12:49:54.66" personId="{753B919D-DE76-4989-9331-36B7A7F592C1}" id="{6010B02D-208A-48E1-920E-F652FB7F1B1C}">
    <text>Assuming use of all 3 patents, the royalties on licensing is 3.25% of the total sales of the part relevant for the patents (the COGS). As the COGS at this point accounts for 0.27 $/kgNH3 produced, it will be 3.25% of this</text>
  </threadedComment>
  <threadedComment ref="AR39" dT="2024-08-12T15:49:01.18" personId="{753B919D-DE76-4989-9331-36B7A7F592C1}" id="{1C2DCD36-DFC7-4788-810D-93772A9CDAEB}">
    <text>Material and prototype goes significantly down, because we are not expecting to build a ~700,000 USD demo-unit in 2027 (as opposed to 2025 and 2026)</text>
  </threadedComment>
  <threadedComment ref="D42" dT="2024-04-18T14:31:23.00" personId="{84877992-EB24-4105-B981-1A45B520DA6F}" id="{91DAC8C8-793F-4F25-A281-A40308DBE504}">
    <text>Same as below for costs related to R&amp;D</text>
  </threadedComment>
  <threadedComment ref="AU42" dT="2024-08-08T15:34:53.56" personId="{753B919D-DE76-4989-9331-36B7A7F592C1}" id="{53C6CE4D-CDC3-4705-A4D3-8558C6CE51E2}">
    <text>We buy a production facility and move out from AL, thereby removing rent payments.</text>
  </threadedComment>
  <threadedComment ref="D43" dT="2024-04-18T14:30:51.25" personId="{84877992-EB24-4105-B981-1A45B520DA6F}" id="{B8944D3F-7757-4F10-A4D7-840DC915D072}">
    <text>From an accounting perspective and later taxes patent costs can be seen as part of R&amp;D budget in most of the countries - I have not implemented it yet</text>
  </threadedComment>
  <threadedComment ref="AE46" dT="2024-08-12T10:30:46.46" personId="{753B919D-DE76-4989-9331-36B7A7F592C1}" id="{732BE596-297C-49E2-B886-47E0CE14AB2C}">
    <text>I've been told that in order to attract good board members, we should expect to pay in this order. Is this true?</text>
  </threadedComment>
  <threadedComment ref="AE47" dT="2024-08-12T09:40:44.85" personId="{753B919D-DE76-4989-9331-36B7A7F592C1}" id="{36D2B31B-30C8-4CA7-B192-49292744B042}">
    <text xml:space="preserve">Expect this to be higher than normal, as we intend to close our Series A, and Suzanne will probably need to visit the US a few times. </text>
  </threadedComment>
  <threadedComment ref="AV47" dT="2024-08-12T15:57:10.44" personId="{753B919D-DE76-4989-9331-36B7A7F592C1}" id="{33CD01F5-2B4F-44F1-89FB-ABF4729B1BB4}">
    <text>Closing a series B will require a larger travel budget</text>
  </threadedComment>
  <threadedComment ref="AR48" dT="2024-08-12T09:42:19.43" personId="{753B919D-DE76-4989-9331-36B7A7F592C1}" id="{46EE15C4-5446-4E74-ABFF-AA61090DF811}">
    <text xml:space="preserve">We intend to buy a production hall in 2027/2028, so the insurance will significantly go up. </text>
  </threadedComment>
  <threadedComment ref="E54" dT="2024-08-07T16:28:44.11" personId="{753B919D-DE76-4989-9331-36B7A7F592C1}" id="{BE69C122-6E76-44C1-A341-CF91E67027FA}">
    <text>CLN interest (2% per year on 750k EUR)</text>
  </threadedComment>
  <threadedComment ref="E54" dT="2024-08-12T13:06:20.25" personId="{B6CC8CCF-D0FA-4F46-BAA6-84EE1036BFFE}" id="{BA1DB6B7-5F00-4AD9-B774-FBCE01AF4521}" parentId="{BE69C122-6E76-44C1-A341-CF91E67027FA}">
    <text>if we want to do the first 3 years monthly then we need to allocate this amount to a month so that it balances with the sum of the year. Who do you pay this interes monthly or yearly?</text>
  </threadedComment>
  <threadedComment ref="Q54" dT="2024-08-14T16:20:58.82" personId="{B6CC8CCF-D0FA-4F46-BAA6-84EE1036BFFE}" id="{3BAE971C-EBE1-47AC-9055-72BED6BF7966}">
    <text>Assumption to be paid in December</text>
  </threadedComment>
  <threadedComment ref="AX54" dT="2024-08-07T16:33:02.22" personId="{753B919D-DE76-4989-9331-36B7A7F592C1}" id="{A0B61159-0BB9-46AE-85B6-D9F6A857711B}">
    <text>Assumes 5% interest - see Bank Loan sheet</text>
  </threadedComment>
  <threadedComment ref="AZ54" dT="2024-08-14T16:33:33.79" personId="{B6CC8CCF-D0FA-4F46-BAA6-84EE1036BFFE}" id="{B00EBAA3-92D4-476F-9E27-B661363D7C3E}">
    <text>Interest paid in december</text>
  </threadedComment>
  <threadedComment ref="D59" dT="2024-04-18T14:42:17.97" personId="{84877992-EB24-4105-B981-1A45B520DA6F}" id="{9357E8C1-BB36-4748-B2DE-19DACB1DC36F}">
    <text xml:space="preserve">Buildings are not part of the Net Income / profit calculation the affect the balance sheet and the cash flow and apear on the profit only via depreciation - already taken out from total expenses </text>
  </threadedComment>
  <threadedComment ref="AR59" dT="2024-08-12T10:14:39.81" personId="{753B919D-DE76-4989-9331-36B7A7F592C1}" id="{5B54BAFC-D637-4E3C-80A1-D08F63B53161}">
    <text xml:space="preserve">Purchase a production hall with bank loan. </text>
  </threadedComment>
  <threadedComment ref="AU59" dT="2024-08-13T15:05:59.32" personId="{753B919D-DE76-4989-9331-36B7A7F592C1}" id="{83BC426D-06C3-4E3D-A448-47697A899E2C}">
    <text>Setting up new equipment to build labs</text>
  </threadedComment>
  <threadedComment ref="AE63" dT="2024-08-15T08:08:10.07" personId="{753B919D-DE76-4989-9331-36B7A7F592C1}" id="{42709A1B-B622-488A-897C-FA79BA4ED0E2}">
    <text>Series A</text>
  </threadedComment>
  <threadedComment ref="AU63" dT="2024-08-15T10:32:05.88" personId="{753B919D-DE76-4989-9331-36B7A7F592C1}" id="{958EFD65-8302-471F-A30A-58B363CCD519}">
    <text>Series B</text>
  </threadedComment>
  <threadedComment ref="AX64" dT="2024-08-07T16:33:02.22" personId="{753B919D-DE76-4989-9331-36B7A7F592C1}" id="{3E09A546-6ABF-4155-A854-2189177CCA61}">
    <text>Assumes 5% interest - see Bank Loan sheet</text>
  </threadedComment>
  <threadedComment ref="AZ64" dT="2024-08-14T16:33:33.79" personId="{B6CC8CCF-D0FA-4F46-BAA6-84EE1036BFFE}" id="{E1D5D6E8-4D8C-43C0-8AE4-F231A4EB3E05}">
    <text>Interest paid in december</text>
  </threadedComment>
  <threadedComment ref="AR65" dT="2024-08-15T07:43:15.02" personId="{753B919D-DE76-4989-9331-36B7A7F592C1}" id="{76C6E140-83B9-4F95-91CB-19A74B319EC8}">
    <text>Presumably we would get a bank loan to pay for the production hall</text>
  </threadedComment>
  <threadedComment ref="M66" dT="2024-08-15T08:00:39.49" personId="{753B919D-DE76-4989-9331-36B7A7F592C1}" id="{B4075702-4312-4611-88CD-2F34387000C1}">
    <text>This matches with what we have in the bank today, so the projections have so far been pretty spot on ☺️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F811-F692-44A8-8583-DB3C8AB9B8E4}">
  <sheetPr codeName="Sheet1">
    <tabColor rgb="FFFF8A00"/>
  </sheetPr>
  <dimension ref="A2:AK353"/>
  <sheetViews>
    <sheetView showGridLines="0" tabSelected="1" zoomScale="72" workbookViewId="0">
      <selection sqref="A1:XFD87"/>
    </sheetView>
  </sheetViews>
  <sheetFormatPr defaultColWidth="8.875" defaultRowHeight="15.75" x14ac:dyDescent="0.25"/>
  <cols>
    <col min="1" max="1" width="2.875" customWidth="1"/>
    <col min="2" max="2" width="40.375" hidden="1" customWidth="1"/>
    <col min="3" max="3" width="50.125" customWidth="1"/>
    <col min="4" max="5" width="14.125" customWidth="1"/>
    <col min="6" max="6" width="13.875" customWidth="1"/>
    <col min="7" max="7" width="12.875" bestFit="1" customWidth="1"/>
    <col min="8" max="8" width="13.5" customWidth="1"/>
    <col min="9" max="9" width="13.875" bestFit="1" customWidth="1"/>
    <col min="10" max="10" width="14.625" bestFit="1" customWidth="1"/>
    <col min="11" max="11" width="15.375" bestFit="1" customWidth="1"/>
    <col min="12" max="12" width="17.625" customWidth="1"/>
    <col min="13" max="14" width="16.375" bestFit="1" customWidth="1"/>
    <col min="15" max="19" width="15.625" bestFit="1" customWidth="1"/>
    <col min="20" max="21" width="16.375" bestFit="1" customWidth="1"/>
    <col min="22" max="22" width="16.625" bestFit="1" customWidth="1"/>
    <col min="23" max="23" width="16.125" bestFit="1" customWidth="1"/>
    <col min="24" max="24" width="16.375" bestFit="1" customWidth="1"/>
    <col min="25" max="29" width="16.625" bestFit="1" customWidth="1"/>
    <col min="30" max="31" width="15.625" bestFit="1" customWidth="1"/>
  </cols>
  <sheetData>
    <row r="2" spans="2:31" ht="23.25" x14ac:dyDescent="0.35">
      <c r="C2" s="307" t="s">
        <v>319</v>
      </c>
      <c r="D2" s="308"/>
      <c r="E2" s="308"/>
      <c r="F2" s="308"/>
      <c r="G2" s="308"/>
      <c r="H2" s="308"/>
      <c r="I2" s="308"/>
      <c r="J2" s="309"/>
    </row>
    <row r="3" spans="2:31" s="305" customFormat="1" ht="63" x14ac:dyDescent="0.25">
      <c r="C3" s="310" t="s">
        <v>305</v>
      </c>
      <c r="D3" s="311" t="s">
        <v>263</v>
      </c>
      <c r="E3" s="312" t="s">
        <v>264</v>
      </c>
      <c r="F3" s="312" t="s">
        <v>282</v>
      </c>
      <c r="G3" s="312" t="s">
        <v>283</v>
      </c>
      <c r="H3" s="312" t="s">
        <v>265</v>
      </c>
      <c r="I3" s="312" t="s">
        <v>278</v>
      </c>
      <c r="J3" s="313" t="s">
        <v>296</v>
      </c>
    </row>
    <row r="4" spans="2:31" ht="16.5" x14ac:dyDescent="0.3">
      <c r="C4" s="314" t="s">
        <v>326</v>
      </c>
      <c r="D4" s="387" t="s">
        <v>309</v>
      </c>
      <c r="E4" s="387" t="s">
        <v>309</v>
      </c>
      <c r="F4" s="387" t="s">
        <v>309</v>
      </c>
      <c r="G4" s="387" t="s">
        <v>309</v>
      </c>
      <c r="H4" s="387" t="s">
        <v>309</v>
      </c>
      <c r="I4" s="387" t="s">
        <v>309</v>
      </c>
      <c r="J4" s="387" t="s">
        <v>309</v>
      </c>
    </row>
    <row r="8" spans="2:31" ht="23.25" x14ac:dyDescent="0.35">
      <c r="C8" s="307" t="s">
        <v>320</v>
      </c>
      <c r="D8" s="308"/>
      <c r="E8" s="308"/>
      <c r="F8" s="308"/>
      <c r="G8" s="308"/>
      <c r="H8" s="308"/>
      <c r="I8" s="308"/>
      <c r="J8" s="309"/>
    </row>
    <row r="9" spans="2:31" s="305" customFormat="1" ht="63" x14ac:dyDescent="0.25">
      <c r="C9" s="310" t="s">
        <v>305</v>
      </c>
      <c r="D9" s="311" t="s">
        <v>263</v>
      </c>
      <c r="E9" s="312" t="s">
        <v>264</v>
      </c>
      <c r="F9" s="312" t="s">
        <v>282</v>
      </c>
      <c r="G9" s="312" t="s">
        <v>283</v>
      </c>
      <c r="H9" s="312" t="s">
        <v>265</v>
      </c>
      <c r="I9" s="312" t="s">
        <v>278</v>
      </c>
      <c r="J9" s="313" t="s">
        <v>296</v>
      </c>
    </row>
    <row r="10" spans="2:31" ht="16.5" x14ac:dyDescent="0.3">
      <c r="C10" s="314" t="s">
        <v>326</v>
      </c>
      <c r="D10" s="387" t="s">
        <v>351</v>
      </c>
      <c r="E10" s="387" t="s">
        <v>309</v>
      </c>
      <c r="F10" s="387" t="s">
        <v>351</v>
      </c>
      <c r="G10" s="387" t="s">
        <v>351</v>
      </c>
      <c r="H10" s="387" t="s">
        <v>351</v>
      </c>
      <c r="I10" s="387" t="s">
        <v>351</v>
      </c>
      <c r="J10" s="387" t="s">
        <v>351</v>
      </c>
    </row>
    <row r="14" spans="2:31" ht="16.5" thickBot="1" x14ac:dyDescent="0.3"/>
    <row r="15" spans="2:31" s="319" customFormat="1" ht="23.25" x14ac:dyDescent="0.35">
      <c r="B15" s="315"/>
      <c r="C15" s="316" t="s">
        <v>300</v>
      </c>
      <c r="D15" s="317"/>
      <c r="E15" s="359"/>
      <c r="F15" s="317"/>
      <c r="G15" s="317"/>
      <c r="H15" s="318"/>
      <c r="I15" s="317"/>
      <c r="J15" s="317"/>
      <c r="K15" s="376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317"/>
    </row>
    <row r="16" spans="2:31" s="319" customFormat="1" ht="18.75" x14ac:dyDescent="0.3">
      <c r="B16" s="276"/>
      <c r="C16" s="276" t="s">
        <v>255</v>
      </c>
      <c r="D16" s="276" t="s">
        <v>268</v>
      </c>
      <c r="E16" s="360" t="s">
        <v>152</v>
      </c>
      <c r="F16" s="8"/>
      <c r="G16" s="8"/>
      <c r="H16" s="320" t="s">
        <v>153</v>
      </c>
      <c r="J16" s="8" t="s">
        <v>154</v>
      </c>
      <c r="K16" s="377"/>
      <c r="L16" s="8" t="s">
        <v>155</v>
      </c>
      <c r="P16" s="321"/>
    </row>
    <row r="17" spans="2:32" s="319" customFormat="1" ht="18.75" x14ac:dyDescent="0.3">
      <c r="C17" s="322"/>
      <c r="D17" s="322"/>
      <c r="E17" s="361">
        <v>2024</v>
      </c>
      <c r="F17" s="322">
        <v>2025</v>
      </c>
      <c r="G17" s="322">
        <v>2026</v>
      </c>
      <c r="H17" s="323">
        <v>2027</v>
      </c>
      <c r="I17" s="322">
        <v>2028</v>
      </c>
      <c r="J17" s="322">
        <v>2029</v>
      </c>
      <c r="K17" s="378">
        <v>2030</v>
      </c>
      <c r="L17" s="322">
        <v>2031</v>
      </c>
      <c r="M17" s="322">
        <v>2032</v>
      </c>
      <c r="N17" s="322">
        <v>2033</v>
      </c>
      <c r="O17" s="322">
        <v>2034</v>
      </c>
      <c r="P17" s="322">
        <v>2035</v>
      </c>
      <c r="Q17" s="322">
        <v>2036</v>
      </c>
      <c r="R17" s="322">
        <v>2037</v>
      </c>
      <c r="S17" s="322">
        <v>2038</v>
      </c>
      <c r="T17" s="322">
        <v>2039</v>
      </c>
      <c r="U17" s="322">
        <v>2040</v>
      </c>
      <c r="V17" s="322">
        <v>2041</v>
      </c>
      <c r="W17" s="322">
        <v>2042</v>
      </c>
      <c r="X17" s="322">
        <v>2043</v>
      </c>
      <c r="Y17" s="322">
        <v>2044</v>
      </c>
      <c r="Z17" s="322">
        <v>2045</v>
      </c>
      <c r="AA17" s="322">
        <v>2046</v>
      </c>
      <c r="AB17" s="322">
        <v>2047</v>
      </c>
      <c r="AC17" s="322">
        <v>2048</v>
      </c>
      <c r="AD17" s="322">
        <v>2049</v>
      </c>
      <c r="AE17" s="322">
        <v>2050</v>
      </c>
    </row>
    <row r="18" spans="2:32" x14ac:dyDescent="0.25">
      <c r="C18" s="324" t="s">
        <v>311</v>
      </c>
      <c r="D18" s="325"/>
      <c r="E18" s="362"/>
      <c r="F18" s="326"/>
      <c r="G18" s="326"/>
      <c r="H18" s="327"/>
      <c r="I18" s="326"/>
      <c r="J18" s="326"/>
      <c r="K18" s="379"/>
      <c r="L18" s="326"/>
      <c r="M18" s="326"/>
      <c r="N18" s="326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6"/>
    </row>
    <row r="19" spans="2:32" ht="18.75" x14ac:dyDescent="0.3">
      <c r="B19" t="s">
        <v>263</v>
      </c>
      <c r="C19" s="328" t="s">
        <v>263</v>
      </c>
      <c r="D19" s="325"/>
      <c r="E19" s="362"/>
      <c r="F19" s="326"/>
      <c r="G19" s="326"/>
      <c r="H19" s="327"/>
      <c r="I19" s="326"/>
      <c r="J19" s="326"/>
      <c r="K19" s="379"/>
      <c r="L19" s="326"/>
      <c r="M19" s="326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</row>
    <row r="20" spans="2:32" x14ac:dyDescent="0.25">
      <c r="B20" t="s">
        <v>263</v>
      </c>
      <c r="C20" s="157" t="s">
        <v>306</v>
      </c>
      <c r="D20" s="329" t="s">
        <v>269</v>
      </c>
      <c r="E20" s="363"/>
      <c r="F20" s="22"/>
      <c r="G20" s="22"/>
      <c r="H20" s="330">
        <v>3</v>
      </c>
      <c r="I20" s="22">
        <v>7</v>
      </c>
      <c r="J20" s="22"/>
      <c r="K20" s="23"/>
      <c r="L20" s="28"/>
      <c r="M20" s="22"/>
      <c r="N20" s="28"/>
      <c r="O20" s="28"/>
    </row>
    <row r="21" spans="2:32" x14ac:dyDescent="0.25">
      <c r="B21" t="s">
        <v>263</v>
      </c>
      <c r="C21" s="157" t="s">
        <v>307</v>
      </c>
      <c r="D21" s="329" t="s">
        <v>38</v>
      </c>
      <c r="E21" s="364">
        <f>('TEA values'!$C$17-('TEA values'!$C$25+'TEA values'!$C$26))</f>
        <v>0.28000000000000003</v>
      </c>
      <c r="F21" s="19">
        <f>('TEA values'!$C$17-('TEA values'!$C$25+'TEA values'!$C$26))</f>
        <v>0.28000000000000003</v>
      </c>
      <c r="G21" s="19">
        <f>('TEA values'!$C$17-('TEA values'!$C$25+'TEA values'!$C$26))</f>
        <v>0.28000000000000003</v>
      </c>
      <c r="H21" s="331">
        <f>('TEA values'!$C$17-('TEA values'!$C$25+'TEA values'!$C$26))</f>
        <v>0.28000000000000003</v>
      </c>
      <c r="I21" s="19">
        <f>('TEA values'!$C$17-('TEA values'!$C$25+'TEA values'!$C$26))</f>
        <v>0.28000000000000003</v>
      </c>
      <c r="J21" s="19">
        <f>('TEA values'!$C$17-('TEA values'!$C$25+'TEA values'!$C$26))</f>
        <v>0.28000000000000003</v>
      </c>
      <c r="K21" s="32">
        <f>('TEA values'!$C$17-('TEA values'!$C$25+'TEA values'!$C$26))</f>
        <v>0.28000000000000003</v>
      </c>
      <c r="L21" s="19">
        <f>('TEA values'!$C$17-('TEA values'!$C$25+'TEA values'!$C$26))</f>
        <v>0.28000000000000003</v>
      </c>
      <c r="M21" s="19">
        <f>('TEA values'!$C$17-('TEA values'!$C$25+'TEA values'!$C$26))</f>
        <v>0.28000000000000003</v>
      </c>
      <c r="N21" s="19">
        <f>('TEA values'!$C$17-('TEA values'!$C$25+'TEA values'!$C$26))</f>
        <v>0.28000000000000003</v>
      </c>
      <c r="O21" s="19">
        <f>('TEA values'!$C$17-('TEA values'!$C$25+'TEA values'!$C$26))</f>
        <v>0.28000000000000003</v>
      </c>
      <c r="P21" s="19">
        <f>('TEA values'!$C$17-('TEA values'!$C$25+'TEA values'!$C$26))</f>
        <v>0.28000000000000003</v>
      </c>
      <c r="Q21" s="19">
        <f>('TEA values'!$C$17-('TEA values'!$C$25+'TEA values'!$C$26))</f>
        <v>0.28000000000000003</v>
      </c>
      <c r="R21" s="19">
        <f>('TEA values'!$C$17-('TEA values'!$C$25+'TEA values'!$C$26))</f>
        <v>0.28000000000000003</v>
      </c>
      <c r="S21" s="19">
        <f>('TEA values'!$C$17-('TEA values'!$C$25+'TEA values'!$C$26))</f>
        <v>0.28000000000000003</v>
      </c>
      <c r="T21" s="19">
        <f>('TEA values'!$C$17-('TEA values'!$C$25+'TEA values'!$C$26))</f>
        <v>0.28000000000000003</v>
      </c>
      <c r="U21" s="19">
        <f>('TEA values'!$C$17-('TEA values'!$C$25+'TEA values'!$C$26))</f>
        <v>0.28000000000000003</v>
      </c>
      <c r="V21" s="19">
        <f>('TEA values'!$C$17-('TEA values'!$C$25+'TEA values'!$C$26))</f>
        <v>0.28000000000000003</v>
      </c>
      <c r="W21" s="19">
        <f>('TEA values'!$C$17-('TEA values'!$C$25+'TEA values'!$C$26))</f>
        <v>0.28000000000000003</v>
      </c>
      <c r="X21" s="19">
        <f>('TEA values'!$C$17-('TEA values'!$C$25+'TEA values'!$C$26))</f>
        <v>0.28000000000000003</v>
      </c>
      <c r="Y21" s="19">
        <f>('TEA values'!$C$17-('TEA values'!$C$25+'TEA values'!$C$26))</f>
        <v>0.28000000000000003</v>
      </c>
      <c r="Z21" s="19">
        <f>('TEA values'!$C$17-('TEA values'!$C$25+'TEA values'!$C$26))</f>
        <v>0.28000000000000003</v>
      </c>
      <c r="AA21" s="19">
        <f>('TEA values'!$C$17-('TEA values'!$C$25+'TEA values'!$C$26))</f>
        <v>0.28000000000000003</v>
      </c>
      <c r="AB21" s="19">
        <f>('TEA values'!$C$17-('TEA values'!$C$25+'TEA values'!$C$26))</f>
        <v>0.28000000000000003</v>
      </c>
      <c r="AC21" s="19">
        <f>('TEA values'!$C$17-('TEA values'!$C$25+'TEA values'!$C$26))</f>
        <v>0.28000000000000003</v>
      </c>
      <c r="AD21" s="19">
        <f>('TEA values'!$C$17-('TEA values'!$C$25+'TEA values'!$C$26))</f>
        <v>0.28000000000000003</v>
      </c>
      <c r="AE21" s="19">
        <f>('TEA values'!$C$17-('TEA values'!$C$25+'TEA values'!$C$26))</f>
        <v>0.28000000000000003</v>
      </c>
    </row>
    <row r="22" spans="2:32" x14ac:dyDescent="0.25">
      <c r="B22" t="s">
        <v>263</v>
      </c>
      <c r="C22" s="157" t="s">
        <v>271</v>
      </c>
      <c r="D22" s="329" t="s">
        <v>301</v>
      </c>
      <c r="E22" s="363">
        <v>150</v>
      </c>
      <c r="F22" s="22">
        <v>150</v>
      </c>
      <c r="G22" s="22">
        <v>150</v>
      </c>
      <c r="H22" s="330">
        <v>150</v>
      </c>
      <c r="I22" s="22">
        <v>150</v>
      </c>
      <c r="J22" s="22">
        <v>150</v>
      </c>
      <c r="K22" s="23">
        <v>150</v>
      </c>
      <c r="L22" s="22">
        <v>150</v>
      </c>
      <c r="M22" s="22">
        <v>150</v>
      </c>
      <c r="N22" s="22">
        <v>150</v>
      </c>
      <c r="O22" s="22">
        <v>150</v>
      </c>
      <c r="P22" s="22">
        <v>150</v>
      </c>
      <c r="Q22" s="22">
        <v>150</v>
      </c>
      <c r="R22" s="22">
        <v>150</v>
      </c>
      <c r="S22" s="22">
        <v>150</v>
      </c>
      <c r="T22" s="22">
        <v>150</v>
      </c>
      <c r="U22" s="22">
        <v>150</v>
      </c>
      <c r="V22" s="22">
        <v>150</v>
      </c>
      <c r="W22" s="22">
        <v>150</v>
      </c>
      <c r="X22" s="22">
        <v>150</v>
      </c>
      <c r="Y22" s="22">
        <v>150</v>
      </c>
      <c r="Z22" s="22">
        <v>150</v>
      </c>
      <c r="AA22" s="22">
        <v>150</v>
      </c>
      <c r="AB22" s="22">
        <v>150</v>
      </c>
      <c r="AC22" s="22">
        <v>150</v>
      </c>
      <c r="AD22" s="22">
        <v>150</v>
      </c>
      <c r="AE22" s="22">
        <v>150</v>
      </c>
    </row>
    <row r="23" spans="2:32" x14ac:dyDescent="0.25">
      <c r="B23" t="s">
        <v>263</v>
      </c>
      <c r="C23" s="157" t="s">
        <v>272</v>
      </c>
      <c r="D23" s="329" t="s">
        <v>273</v>
      </c>
      <c r="E23" s="363">
        <f t="shared" ref="E23:M23" si="0">365*0.9</f>
        <v>328.5</v>
      </c>
      <c r="F23" s="22">
        <f t="shared" si="0"/>
        <v>328.5</v>
      </c>
      <c r="G23" s="22">
        <f t="shared" si="0"/>
        <v>328.5</v>
      </c>
      <c r="H23" s="330">
        <f t="shared" si="0"/>
        <v>328.5</v>
      </c>
      <c r="I23" s="22">
        <f t="shared" si="0"/>
        <v>328.5</v>
      </c>
      <c r="J23" s="22">
        <f t="shared" si="0"/>
        <v>328.5</v>
      </c>
      <c r="K23" s="23">
        <f t="shared" si="0"/>
        <v>328.5</v>
      </c>
      <c r="L23" s="22">
        <f t="shared" si="0"/>
        <v>328.5</v>
      </c>
      <c r="M23" s="22">
        <f t="shared" si="0"/>
        <v>328.5</v>
      </c>
      <c r="N23" s="22">
        <f t="shared" ref="N23:AE23" si="1">365*0.9</f>
        <v>328.5</v>
      </c>
      <c r="O23" s="22">
        <f t="shared" si="1"/>
        <v>328.5</v>
      </c>
      <c r="P23" s="22">
        <f t="shared" si="1"/>
        <v>328.5</v>
      </c>
      <c r="Q23" s="22">
        <f t="shared" si="1"/>
        <v>328.5</v>
      </c>
      <c r="R23" s="22">
        <f t="shared" si="1"/>
        <v>328.5</v>
      </c>
      <c r="S23" s="22">
        <f t="shared" si="1"/>
        <v>328.5</v>
      </c>
      <c r="T23" s="22">
        <f t="shared" si="1"/>
        <v>328.5</v>
      </c>
      <c r="U23" s="22">
        <f t="shared" si="1"/>
        <v>328.5</v>
      </c>
      <c r="V23" s="22">
        <f t="shared" si="1"/>
        <v>328.5</v>
      </c>
      <c r="W23" s="22">
        <f t="shared" si="1"/>
        <v>328.5</v>
      </c>
      <c r="X23" s="22">
        <f t="shared" si="1"/>
        <v>328.5</v>
      </c>
      <c r="Y23" s="22">
        <f t="shared" si="1"/>
        <v>328.5</v>
      </c>
      <c r="Z23" s="22">
        <f t="shared" si="1"/>
        <v>328.5</v>
      </c>
      <c r="AA23" s="22">
        <f t="shared" si="1"/>
        <v>328.5</v>
      </c>
      <c r="AB23" s="22">
        <f t="shared" si="1"/>
        <v>328.5</v>
      </c>
      <c r="AC23" s="22">
        <f t="shared" si="1"/>
        <v>328.5</v>
      </c>
      <c r="AD23" s="22">
        <f t="shared" si="1"/>
        <v>328.5</v>
      </c>
      <c r="AE23" s="22">
        <f t="shared" si="1"/>
        <v>328.5</v>
      </c>
    </row>
    <row r="24" spans="2:32" x14ac:dyDescent="0.25">
      <c r="B24" t="s">
        <v>263</v>
      </c>
      <c r="C24" s="157" t="s">
        <v>275</v>
      </c>
      <c r="D24" s="329" t="s">
        <v>274</v>
      </c>
      <c r="E24" s="365"/>
      <c r="F24" s="14"/>
      <c r="G24" s="14"/>
      <c r="H24" s="332">
        <v>665000</v>
      </c>
      <c r="I24" s="14">
        <f>('TEA values'!$C$24*I22*365*20+500000*(3/4))/2</f>
        <v>357225</v>
      </c>
      <c r="J24" s="14">
        <f>'TEA values'!E$24*150*365*20</f>
        <v>284700</v>
      </c>
      <c r="K24" s="15">
        <f>'TEA values'!G$24*150*365*20</f>
        <v>219000</v>
      </c>
      <c r="L24" s="14">
        <f>'TEA values'!I$24*150*365*20</f>
        <v>175200</v>
      </c>
      <c r="M24" s="14">
        <f>'TEA values'!K$24*150*365*20</f>
        <v>153300.00000000003</v>
      </c>
      <c r="N24" s="14">
        <f>'TEA values'!M$24*150*365*20</f>
        <v>142350</v>
      </c>
      <c r="O24" s="14">
        <f>'TEA values'!O$24*150*365*20</f>
        <v>131400</v>
      </c>
      <c r="P24" s="14">
        <f>'TEA values'!P$24*150*365*20</f>
        <v>98550</v>
      </c>
      <c r="Q24" s="14">
        <f>'TEA values'!Q$24*150*365*20</f>
        <v>98550</v>
      </c>
      <c r="R24" s="14">
        <f>'TEA values'!R$24*150*365*20</f>
        <v>98550</v>
      </c>
      <c r="S24" s="14">
        <f>'TEA values'!S$24*150*365*20</f>
        <v>98550</v>
      </c>
      <c r="T24" s="14">
        <f>'TEA values'!T$24*150*365*20</f>
        <v>98550</v>
      </c>
      <c r="U24" s="14">
        <f>'TEA values'!U$24*150*365*20</f>
        <v>98550</v>
      </c>
      <c r="V24" s="14">
        <f>'TEA values'!V$24*150*365*20</f>
        <v>98550</v>
      </c>
      <c r="W24" s="14">
        <f>'TEA values'!W$24*150*365*20</f>
        <v>98550</v>
      </c>
      <c r="X24" s="14">
        <f>'TEA values'!X$24*150*365*20</f>
        <v>98550</v>
      </c>
      <c r="Y24" s="14">
        <f>'TEA values'!Y$24*150*365*20</f>
        <v>98550</v>
      </c>
      <c r="Z24" s="14">
        <f>'TEA values'!Z$24*150*365*20</f>
        <v>98550</v>
      </c>
      <c r="AA24" s="14">
        <f>'TEA values'!AA$24*150*365*20</f>
        <v>98550</v>
      </c>
      <c r="AB24" s="14">
        <f>'TEA values'!AB$24*150*365*20</f>
        <v>98550</v>
      </c>
      <c r="AC24" s="14">
        <f>'TEA values'!AC$24*150*365*20</f>
        <v>98550</v>
      </c>
      <c r="AD24" s="14">
        <f>'TEA values'!AD$24*150*365*20</f>
        <v>98550</v>
      </c>
      <c r="AE24" s="14">
        <f>'TEA values'!AE$24*150*365*20</f>
        <v>98550</v>
      </c>
      <c r="AF24" t="s">
        <v>170</v>
      </c>
    </row>
    <row r="25" spans="2:32" x14ac:dyDescent="0.25">
      <c r="B25" t="s">
        <v>263</v>
      </c>
      <c r="C25" s="157" t="s">
        <v>292</v>
      </c>
      <c r="D25" s="329" t="s">
        <v>284</v>
      </c>
      <c r="E25" s="363">
        <v>20</v>
      </c>
      <c r="F25" s="22">
        <v>20</v>
      </c>
      <c r="G25" s="22">
        <v>20</v>
      </c>
      <c r="H25" s="330">
        <v>20</v>
      </c>
      <c r="I25" s="22">
        <v>20</v>
      </c>
      <c r="J25" s="22">
        <v>20</v>
      </c>
      <c r="K25" s="23">
        <v>20</v>
      </c>
      <c r="L25" s="22">
        <v>20</v>
      </c>
      <c r="M25" s="22">
        <v>20</v>
      </c>
      <c r="N25" s="22">
        <v>20</v>
      </c>
      <c r="O25" s="22">
        <v>20</v>
      </c>
      <c r="P25" s="22">
        <v>20</v>
      </c>
      <c r="Q25" s="22">
        <v>20</v>
      </c>
      <c r="R25" s="22">
        <v>20</v>
      </c>
      <c r="S25" s="22">
        <v>20</v>
      </c>
      <c r="T25" s="22">
        <v>20</v>
      </c>
      <c r="U25" s="22">
        <v>20</v>
      </c>
      <c r="V25" s="22">
        <v>20</v>
      </c>
      <c r="W25" s="22">
        <v>20</v>
      </c>
      <c r="X25" s="22">
        <v>20</v>
      </c>
      <c r="Y25" s="22">
        <v>20</v>
      </c>
      <c r="Z25" s="22">
        <v>20</v>
      </c>
      <c r="AA25" s="22">
        <v>20</v>
      </c>
      <c r="AB25" s="22">
        <v>20</v>
      </c>
      <c r="AC25" s="22">
        <v>20</v>
      </c>
      <c r="AD25" s="22">
        <v>20</v>
      </c>
      <c r="AE25" s="22">
        <v>20</v>
      </c>
    </row>
    <row r="26" spans="2:32" x14ac:dyDescent="0.25">
      <c r="B26" t="s">
        <v>263</v>
      </c>
      <c r="C26" s="157" t="s">
        <v>313</v>
      </c>
      <c r="D26" s="329" t="s">
        <v>19</v>
      </c>
      <c r="E26" s="366">
        <v>0.05</v>
      </c>
      <c r="F26" s="333">
        <v>0.05</v>
      </c>
      <c r="G26" s="333">
        <v>0.05</v>
      </c>
      <c r="H26" s="334">
        <v>0.05</v>
      </c>
      <c r="I26" s="333">
        <v>0.05</v>
      </c>
      <c r="J26" s="333">
        <v>0.05</v>
      </c>
      <c r="K26" s="380">
        <v>0.05</v>
      </c>
      <c r="L26" s="333">
        <v>0.05</v>
      </c>
      <c r="M26" s="333">
        <v>0.05</v>
      </c>
      <c r="N26" s="333">
        <v>0.05</v>
      </c>
      <c r="O26" s="333">
        <v>0.05</v>
      </c>
      <c r="P26" s="333">
        <v>0.05</v>
      </c>
      <c r="Q26" s="333">
        <v>0.05</v>
      </c>
      <c r="R26" s="333">
        <v>0.05</v>
      </c>
      <c r="S26" s="333">
        <v>0.05</v>
      </c>
      <c r="T26" s="333">
        <v>0.05</v>
      </c>
      <c r="U26" s="333">
        <v>0.05</v>
      </c>
      <c r="V26" s="333">
        <v>0.05</v>
      </c>
      <c r="W26" s="333">
        <v>0.05</v>
      </c>
      <c r="X26" s="333">
        <v>0.05</v>
      </c>
      <c r="Y26" s="333">
        <v>0.05</v>
      </c>
      <c r="Z26" s="333">
        <v>0.05</v>
      </c>
      <c r="AA26" s="333">
        <v>0.05</v>
      </c>
      <c r="AB26" s="333">
        <v>0.05</v>
      </c>
      <c r="AC26" s="333">
        <v>0.05</v>
      </c>
      <c r="AD26" s="333">
        <v>0.05</v>
      </c>
      <c r="AE26" s="333">
        <v>0.05</v>
      </c>
    </row>
    <row r="27" spans="2:32" x14ac:dyDescent="0.25">
      <c r="B27" t="s">
        <v>263</v>
      </c>
      <c r="C27" s="157"/>
      <c r="D27" s="329"/>
      <c r="E27" s="363"/>
      <c r="F27" s="22"/>
      <c r="G27" s="22"/>
      <c r="H27" s="330"/>
      <c r="I27" s="22"/>
      <c r="J27" s="22"/>
      <c r="K27" s="23"/>
      <c r="L27" s="22"/>
      <c r="M27" s="22"/>
      <c r="N27" s="22"/>
      <c r="O27" s="22"/>
    </row>
    <row r="28" spans="2:32" ht="18.75" x14ac:dyDescent="0.3">
      <c r="B28" t="s">
        <v>264</v>
      </c>
      <c r="C28" s="328" t="s">
        <v>264</v>
      </c>
      <c r="D28" s="335"/>
      <c r="E28" s="362"/>
      <c r="F28" s="326"/>
      <c r="G28" s="326"/>
      <c r="H28" s="327"/>
      <c r="I28" s="326"/>
      <c r="J28" s="326"/>
      <c r="K28" s="379"/>
      <c r="L28" s="326"/>
      <c r="M28" s="326"/>
      <c r="N28" s="326"/>
      <c r="O28" s="326"/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C28" s="326"/>
      <c r="AD28" s="326"/>
      <c r="AE28" s="326"/>
      <c r="AF28" s="326"/>
    </row>
    <row r="29" spans="2:32" x14ac:dyDescent="0.25">
      <c r="B29" t="s">
        <v>264</v>
      </c>
      <c r="C29" s="157" t="s">
        <v>304</v>
      </c>
      <c r="D29" s="329" t="s">
        <v>269</v>
      </c>
      <c r="E29" s="363"/>
      <c r="F29" s="22"/>
      <c r="G29" s="22"/>
      <c r="H29" s="332"/>
      <c r="I29" s="14"/>
      <c r="J29" s="22">
        <v>12</v>
      </c>
      <c r="K29" s="23">
        <v>25</v>
      </c>
      <c r="L29" s="28">
        <v>50</v>
      </c>
      <c r="M29" s="22">
        <f>L29*1.5</f>
        <v>75</v>
      </c>
      <c r="N29" s="22">
        <f t="shared" ref="N29:O29" si="2">M29*1.5</f>
        <v>112.5</v>
      </c>
      <c r="O29" s="28">
        <f t="shared" si="2"/>
        <v>168.75</v>
      </c>
      <c r="P29" s="28">
        <f>O29*1.25</f>
        <v>210.9375</v>
      </c>
      <c r="Q29" s="28">
        <f t="shared" ref="Q29:U29" si="3">P29*1.25</f>
        <v>263.671875</v>
      </c>
      <c r="R29" s="28">
        <f t="shared" si="3"/>
        <v>329.58984375</v>
      </c>
      <c r="S29" s="28">
        <f t="shared" si="3"/>
        <v>411.9873046875</v>
      </c>
      <c r="T29" s="28">
        <f t="shared" si="3"/>
        <v>514.984130859375</v>
      </c>
      <c r="U29" s="28">
        <f t="shared" si="3"/>
        <v>643.73016357421875</v>
      </c>
      <c r="V29" s="28">
        <f>U29*1.1</f>
        <v>708.10317993164074</v>
      </c>
      <c r="W29" s="28">
        <f t="shared" ref="W29:AE29" si="4">V29*1.1</f>
        <v>778.91349792480491</v>
      </c>
      <c r="X29" s="28">
        <f t="shared" si="4"/>
        <v>856.8048477172855</v>
      </c>
      <c r="Y29" s="28">
        <f t="shared" si="4"/>
        <v>942.48533248901413</v>
      </c>
      <c r="Z29" s="28">
        <f t="shared" si="4"/>
        <v>1036.7338657379157</v>
      </c>
      <c r="AA29" s="28">
        <f t="shared" si="4"/>
        <v>1140.4072523117075</v>
      </c>
      <c r="AB29" s="28">
        <f t="shared" si="4"/>
        <v>1254.4479775428783</v>
      </c>
      <c r="AC29" s="28">
        <f t="shared" si="4"/>
        <v>1379.8927752971663</v>
      </c>
      <c r="AD29" s="28">
        <f t="shared" si="4"/>
        <v>1517.882052826883</v>
      </c>
      <c r="AE29" s="28">
        <f t="shared" si="4"/>
        <v>1669.6702581095715</v>
      </c>
    </row>
    <row r="30" spans="2:32" x14ac:dyDescent="0.25">
      <c r="B30" t="s">
        <v>264</v>
      </c>
      <c r="C30" s="157" t="s">
        <v>280</v>
      </c>
      <c r="D30" s="329" t="s">
        <v>73</v>
      </c>
      <c r="E30" s="367">
        <v>300000</v>
      </c>
      <c r="F30" s="20">
        <v>300000</v>
      </c>
      <c r="G30" s="20">
        <v>300000</v>
      </c>
      <c r="H30" s="336">
        <v>300000</v>
      </c>
      <c r="I30" s="20">
        <v>300000</v>
      </c>
      <c r="J30" s="20">
        <v>300000</v>
      </c>
      <c r="K30" s="21">
        <v>300000</v>
      </c>
      <c r="L30" s="20">
        <v>300000</v>
      </c>
      <c r="M30" s="20">
        <v>300000</v>
      </c>
      <c r="N30" s="20">
        <v>300000</v>
      </c>
      <c r="O30" s="20">
        <v>300000</v>
      </c>
      <c r="P30" s="20">
        <v>300000</v>
      </c>
      <c r="Q30" s="20">
        <v>300000</v>
      </c>
      <c r="R30" s="20">
        <v>300000</v>
      </c>
      <c r="S30" s="20">
        <v>300000</v>
      </c>
      <c r="T30" s="20">
        <v>300000</v>
      </c>
      <c r="U30" s="20">
        <v>300000</v>
      </c>
      <c r="V30" s="20">
        <v>300000</v>
      </c>
      <c r="W30" s="20">
        <v>300000</v>
      </c>
      <c r="X30" s="20">
        <v>300000</v>
      </c>
      <c r="Y30" s="20">
        <v>300000</v>
      </c>
      <c r="Z30" s="20">
        <v>300000</v>
      </c>
      <c r="AA30" s="20">
        <v>300000</v>
      </c>
      <c r="AB30" s="20">
        <v>300000</v>
      </c>
      <c r="AC30" s="20">
        <v>300000</v>
      </c>
      <c r="AD30" s="20">
        <v>300000</v>
      </c>
      <c r="AE30" s="20">
        <v>300000</v>
      </c>
    </row>
    <row r="31" spans="2:32" x14ac:dyDescent="0.25">
      <c r="B31" t="s">
        <v>264</v>
      </c>
      <c r="C31" s="157" t="s">
        <v>281</v>
      </c>
      <c r="D31" s="329" t="s">
        <v>308</v>
      </c>
      <c r="E31" s="367">
        <v>5000</v>
      </c>
      <c r="F31" s="20">
        <v>5000</v>
      </c>
      <c r="G31" s="20">
        <v>5000</v>
      </c>
      <c r="H31" s="336">
        <v>5000</v>
      </c>
      <c r="I31" s="20">
        <v>5000</v>
      </c>
      <c r="J31" s="20">
        <v>5000</v>
      </c>
      <c r="K31" s="21">
        <v>5000</v>
      </c>
      <c r="L31" s="20">
        <v>5000</v>
      </c>
      <c r="M31" s="20">
        <v>5000</v>
      </c>
      <c r="N31" s="20">
        <v>5000</v>
      </c>
      <c r="O31" s="20">
        <v>5000</v>
      </c>
      <c r="P31" s="20">
        <v>5000</v>
      </c>
      <c r="Q31" s="20">
        <v>5000</v>
      </c>
      <c r="R31" s="20">
        <v>5000</v>
      </c>
      <c r="S31" s="20">
        <v>5000</v>
      </c>
      <c r="T31" s="20">
        <v>5000</v>
      </c>
      <c r="U31" s="20">
        <v>5000</v>
      </c>
      <c r="V31" s="20">
        <v>5000</v>
      </c>
      <c r="W31" s="20">
        <v>5000</v>
      </c>
      <c r="X31" s="20">
        <v>5000</v>
      </c>
      <c r="Y31" s="20">
        <v>5000</v>
      </c>
      <c r="Z31" s="20">
        <v>5000</v>
      </c>
      <c r="AA31" s="20">
        <v>5000</v>
      </c>
      <c r="AB31" s="20">
        <v>5000</v>
      </c>
      <c r="AC31" s="20">
        <v>5000</v>
      </c>
      <c r="AD31" s="20">
        <v>5000</v>
      </c>
      <c r="AE31" s="20">
        <v>5000</v>
      </c>
    </row>
    <row r="32" spans="2:32" x14ac:dyDescent="0.25">
      <c r="B32" t="s">
        <v>264</v>
      </c>
      <c r="C32" s="157" t="s">
        <v>271</v>
      </c>
      <c r="D32" s="329" t="s">
        <v>301</v>
      </c>
      <c r="E32" s="363">
        <v>150</v>
      </c>
      <c r="F32" s="22">
        <v>150</v>
      </c>
      <c r="G32" s="22">
        <v>150</v>
      </c>
      <c r="H32" s="330">
        <v>150</v>
      </c>
      <c r="I32" s="22">
        <v>150</v>
      </c>
      <c r="J32" s="22">
        <v>150</v>
      </c>
      <c r="K32" s="23">
        <v>150</v>
      </c>
      <c r="L32" s="22">
        <v>150</v>
      </c>
      <c r="M32" s="22">
        <v>150</v>
      </c>
      <c r="N32" s="22">
        <v>150</v>
      </c>
      <c r="O32" s="22">
        <v>150</v>
      </c>
      <c r="P32" s="363">
        <v>150</v>
      </c>
      <c r="Q32" s="22">
        <v>150</v>
      </c>
      <c r="R32" s="22">
        <v>150</v>
      </c>
      <c r="S32" s="330">
        <v>150</v>
      </c>
      <c r="T32" s="22">
        <v>150</v>
      </c>
      <c r="U32" s="22">
        <v>150</v>
      </c>
      <c r="V32" s="22">
        <v>150</v>
      </c>
      <c r="W32" s="22">
        <v>150</v>
      </c>
      <c r="X32" s="22">
        <v>150</v>
      </c>
      <c r="Y32" s="22">
        <v>150</v>
      </c>
      <c r="Z32" s="22">
        <v>150</v>
      </c>
      <c r="AA32" s="363">
        <v>150</v>
      </c>
      <c r="AB32" s="22">
        <v>150</v>
      </c>
      <c r="AC32" s="22">
        <v>150</v>
      </c>
      <c r="AD32" s="330">
        <v>150</v>
      </c>
      <c r="AE32" s="22">
        <v>150</v>
      </c>
    </row>
    <row r="33" spans="2:32" x14ac:dyDescent="0.25">
      <c r="B33" t="s">
        <v>264</v>
      </c>
      <c r="C33" s="157" t="s">
        <v>275</v>
      </c>
      <c r="D33" s="329" t="s">
        <v>274</v>
      </c>
      <c r="E33" s="363"/>
      <c r="F33" s="22"/>
      <c r="G33" s="22"/>
      <c r="H33" s="332">
        <v>665000</v>
      </c>
      <c r="I33" s="14">
        <f>('TEA values'!$C$24*I32*365*20+500000*(3/4))/2</f>
        <v>357225</v>
      </c>
      <c r="J33" s="14">
        <f>'TEA values'!E$24*150*365*20</f>
        <v>284700</v>
      </c>
      <c r="K33" s="15">
        <f>'TEA values'!G24*150*365*20</f>
        <v>219000</v>
      </c>
      <c r="L33" s="14">
        <f>'TEA values'!I24*150*365*20</f>
        <v>175200</v>
      </c>
      <c r="M33" s="14">
        <f>'TEA values'!K24*150*365*20</f>
        <v>153300.00000000003</v>
      </c>
      <c r="N33" s="14">
        <f>'TEA values'!M24*150*365*20</f>
        <v>142350</v>
      </c>
      <c r="O33" s="14">
        <f>'TEA values'!O24*150*365*20</f>
        <v>131400</v>
      </c>
      <c r="P33" s="14">
        <f>'TEA values'!P24*150*365*20</f>
        <v>98550</v>
      </c>
      <c r="Q33" s="14">
        <f>'TEA values'!Q24*150*365*20</f>
        <v>98550</v>
      </c>
      <c r="R33" s="14">
        <f>'TEA values'!R24*150*365*20</f>
        <v>98550</v>
      </c>
      <c r="S33" s="14">
        <f>'TEA values'!S24*150*365*20</f>
        <v>98550</v>
      </c>
      <c r="T33" s="14">
        <f>'TEA values'!T24*150*365*20</f>
        <v>98550</v>
      </c>
      <c r="U33" s="14">
        <f>'TEA values'!U24*150*365*20</f>
        <v>98550</v>
      </c>
      <c r="V33" s="14">
        <f>'TEA values'!V24*150*365*20</f>
        <v>98550</v>
      </c>
      <c r="W33" s="14">
        <f>'TEA values'!W24*150*365*20</f>
        <v>98550</v>
      </c>
      <c r="X33" s="14">
        <f>'TEA values'!X24*150*365*20</f>
        <v>98550</v>
      </c>
      <c r="Y33" s="14">
        <f>'TEA values'!Y24*150*365*20</f>
        <v>98550</v>
      </c>
      <c r="Z33" s="14">
        <f>'TEA values'!Z24*150*365*20</f>
        <v>98550</v>
      </c>
      <c r="AA33" s="14">
        <f>'TEA values'!AA24*150*365*20</f>
        <v>98550</v>
      </c>
      <c r="AB33" s="14">
        <f>'TEA values'!AB24*150*365*20</f>
        <v>98550</v>
      </c>
      <c r="AC33" s="14">
        <f>'TEA values'!AC24*150*365*20</f>
        <v>98550</v>
      </c>
      <c r="AD33" s="14">
        <f>'TEA values'!AD24*150*365*20</f>
        <v>98550</v>
      </c>
      <c r="AE33" s="14">
        <f>'TEA values'!AE24*150*365*20</f>
        <v>98550</v>
      </c>
    </row>
    <row r="34" spans="2:32" x14ac:dyDescent="0.25">
      <c r="B34" t="s">
        <v>264</v>
      </c>
      <c r="C34" s="157"/>
      <c r="D34" s="329"/>
      <c r="E34" s="367"/>
      <c r="F34" s="20"/>
      <c r="G34" s="20"/>
      <c r="H34" s="336"/>
      <c r="I34" s="20"/>
      <c r="J34" s="20"/>
      <c r="K34" s="21"/>
      <c r="L34" s="20"/>
      <c r="M34" s="20"/>
      <c r="N34" s="20"/>
      <c r="O34" s="20"/>
    </row>
    <row r="35" spans="2:32" ht="18.75" x14ac:dyDescent="0.3">
      <c r="B35" t="s">
        <v>282</v>
      </c>
      <c r="C35" s="328" t="s">
        <v>282</v>
      </c>
      <c r="D35" s="335"/>
      <c r="E35" s="362"/>
      <c r="F35" s="326"/>
      <c r="G35" s="326"/>
      <c r="H35" s="327"/>
      <c r="I35" s="326"/>
      <c r="J35" s="326"/>
      <c r="K35" s="379"/>
      <c r="L35" s="326"/>
      <c r="M35" s="326"/>
      <c r="N35" s="326"/>
      <c r="O35" s="326"/>
      <c r="P35" s="326"/>
      <c r="Q35" s="326"/>
      <c r="R35" s="326"/>
      <c r="S35" s="326"/>
      <c r="T35" s="326"/>
      <c r="U35" s="326"/>
      <c r="V35" s="326"/>
      <c r="W35" s="326"/>
      <c r="X35" s="326"/>
      <c r="Y35" s="326"/>
      <c r="Z35" s="326"/>
      <c r="AA35" s="326"/>
      <c r="AB35" s="326"/>
      <c r="AC35" s="326"/>
      <c r="AD35" s="326"/>
      <c r="AE35" s="326"/>
      <c r="AF35" s="326"/>
    </row>
    <row r="36" spans="2:32" x14ac:dyDescent="0.25">
      <c r="B36" t="s">
        <v>282</v>
      </c>
      <c r="C36" s="157" t="s">
        <v>304</v>
      </c>
      <c r="D36" s="329" t="s">
        <v>269</v>
      </c>
      <c r="E36" s="363"/>
      <c r="F36" s="22"/>
      <c r="G36" s="22"/>
      <c r="H36" s="330"/>
      <c r="I36" s="22"/>
      <c r="K36" s="52"/>
    </row>
    <row r="37" spans="2:32" x14ac:dyDescent="0.25">
      <c r="B37" t="s">
        <v>282</v>
      </c>
      <c r="C37" s="157" t="s">
        <v>277</v>
      </c>
      <c r="D37" s="329" t="s">
        <v>276</v>
      </c>
      <c r="E37" s="363"/>
      <c r="F37" s="22"/>
      <c r="G37" s="22"/>
      <c r="H37" s="330"/>
      <c r="I37" s="22"/>
    </row>
    <row r="38" spans="2:32" x14ac:dyDescent="0.25">
      <c r="B38" t="s">
        <v>282</v>
      </c>
      <c r="C38" s="157" t="s">
        <v>271</v>
      </c>
      <c r="D38" s="329" t="s">
        <v>301</v>
      </c>
      <c r="E38" s="363">
        <v>150</v>
      </c>
      <c r="F38" s="22">
        <v>150</v>
      </c>
      <c r="G38" s="22">
        <v>150</v>
      </c>
      <c r="H38" s="330">
        <v>150</v>
      </c>
      <c r="I38" s="22">
        <v>150</v>
      </c>
      <c r="J38" s="22">
        <v>150</v>
      </c>
      <c r="K38" s="23">
        <v>150</v>
      </c>
      <c r="L38" s="22">
        <v>150</v>
      </c>
      <c r="M38" s="22">
        <v>150</v>
      </c>
      <c r="N38" s="22">
        <v>150</v>
      </c>
      <c r="O38" s="22">
        <v>150</v>
      </c>
      <c r="P38" s="363">
        <v>150</v>
      </c>
      <c r="Q38" s="22">
        <v>150</v>
      </c>
      <c r="R38" s="22">
        <v>150</v>
      </c>
      <c r="S38" s="330">
        <v>150</v>
      </c>
      <c r="T38" s="22">
        <v>150</v>
      </c>
      <c r="U38" s="22">
        <v>150</v>
      </c>
      <c r="V38" s="22">
        <v>150</v>
      </c>
      <c r="W38" s="22">
        <v>150</v>
      </c>
      <c r="X38" s="22">
        <v>150</v>
      </c>
      <c r="Y38" s="22">
        <v>150</v>
      </c>
      <c r="Z38" s="22">
        <v>150</v>
      </c>
      <c r="AA38" s="363">
        <v>150</v>
      </c>
      <c r="AB38" s="22">
        <v>150</v>
      </c>
      <c r="AC38" s="22">
        <v>150</v>
      </c>
      <c r="AD38" s="330">
        <v>150</v>
      </c>
      <c r="AE38" s="22">
        <v>150</v>
      </c>
    </row>
    <row r="39" spans="2:32" x14ac:dyDescent="0.25">
      <c r="B39" t="s">
        <v>282</v>
      </c>
      <c r="C39" s="157" t="s">
        <v>275</v>
      </c>
      <c r="D39" s="329" t="s">
        <v>274</v>
      </c>
      <c r="E39" s="363"/>
      <c r="F39" s="22"/>
      <c r="G39" s="22"/>
      <c r="H39" s="332">
        <v>665000</v>
      </c>
      <c r="I39" s="14">
        <f>('TEA values'!$C$24*I38*365*20+500000*(3/4))/2</f>
        <v>357225</v>
      </c>
      <c r="J39" s="14">
        <f>'TEA values'!E$24*150*365*20</f>
        <v>284700</v>
      </c>
      <c r="K39" s="15">
        <f>'TEA values'!G$24*150*365*20</f>
        <v>219000</v>
      </c>
      <c r="L39" s="14">
        <f>'TEA values'!I$24*150*365*20</f>
        <v>175200</v>
      </c>
      <c r="M39" s="14">
        <f>'TEA values'!K$24*150*365*20</f>
        <v>153300.00000000003</v>
      </c>
      <c r="N39" s="14">
        <f>'TEA values'!M$24*150*365*20</f>
        <v>142350</v>
      </c>
      <c r="O39" s="14">
        <f>'TEA values'!O$24*150*365*20</f>
        <v>131400</v>
      </c>
    </row>
    <row r="40" spans="2:32" x14ac:dyDescent="0.25">
      <c r="B40" t="s">
        <v>282</v>
      </c>
      <c r="C40" s="157" t="s">
        <v>292</v>
      </c>
      <c r="D40" s="329" t="s">
        <v>284</v>
      </c>
      <c r="E40" s="363">
        <v>20</v>
      </c>
      <c r="F40" s="22">
        <v>20</v>
      </c>
      <c r="G40" s="22">
        <v>20</v>
      </c>
      <c r="H40" s="330">
        <v>20</v>
      </c>
      <c r="I40" s="22">
        <v>20</v>
      </c>
      <c r="J40" s="22">
        <v>20</v>
      </c>
      <c r="K40" s="23">
        <v>20</v>
      </c>
      <c r="L40" s="22">
        <v>20</v>
      </c>
      <c r="M40" s="22">
        <v>20</v>
      </c>
      <c r="N40" s="22">
        <v>20</v>
      </c>
      <c r="O40" s="22">
        <v>20</v>
      </c>
      <c r="P40" s="22">
        <v>20</v>
      </c>
      <c r="Q40" s="22">
        <v>20</v>
      </c>
      <c r="R40" s="22">
        <v>20</v>
      </c>
      <c r="S40" s="22">
        <v>20</v>
      </c>
      <c r="T40" s="22">
        <v>20</v>
      </c>
      <c r="U40" s="22">
        <v>20</v>
      </c>
      <c r="V40" s="22">
        <v>20</v>
      </c>
      <c r="W40" s="22">
        <v>20</v>
      </c>
      <c r="X40" s="22">
        <v>20</v>
      </c>
      <c r="Y40" s="22">
        <v>20</v>
      </c>
      <c r="Z40" s="22">
        <v>20</v>
      </c>
      <c r="AA40" s="22">
        <v>20</v>
      </c>
      <c r="AB40" s="22">
        <v>20</v>
      </c>
      <c r="AC40" s="22">
        <v>20</v>
      </c>
      <c r="AD40" s="22">
        <v>20</v>
      </c>
      <c r="AE40" s="22">
        <v>20</v>
      </c>
    </row>
    <row r="41" spans="2:32" x14ac:dyDescent="0.25">
      <c r="B41" t="s">
        <v>282</v>
      </c>
      <c r="C41" s="157" t="s">
        <v>313</v>
      </c>
      <c r="D41" s="329" t="s">
        <v>19</v>
      </c>
      <c r="E41" s="366">
        <v>0.05</v>
      </c>
      <c r="F41" s="333">
        <v>0.05</v>
      </c>
      <c r="G41" s="333">
        <v>0.05</v>
      </c>
      <c r="H41" s="334">
        <v>0.05</v>
      </c>
      <c r="I41" s="333">
        <v>0.05</v>
      </c>
      <c r="J41" s="333">
        <v>0.05</v>
      </c>
      <c r="K41" s="380">
        <v>0.05</v>
      </c>
      <c r="L41" s="333">
        <v>0.05</v>
      </c>
      <c r="M41" s="333">
        <v>0.05</v>
      </c>
      <c r="N41" s="333">
        <v>0.05</v>
      </c>
      <c r="O41" s="333">
        <v>0.05</v>
      </c>
      <c r="P41" s="333">
        <v>0.05</v>
      </c>
      <c r="Q41" s="333">
        <v>0.05</v>
      </c>
      <c r="R41" s="333">
        <v>0.05</v>
      </c>
      <c r="S41" s="333">
        <v>0.05</v>
      </c>
      <c r="T41" s="333">
        <v>0.05</v>
      </c>
      <c r="U41" s="333">
        <v>0.05</v>
      </c>
      <c r="V41" s="333">
        <v>0.05</v>
      </c>
      <c r="W41" s="333">
        <v>0.05</v>
      </c>
      <c r="X41" s="333">
        <v>0.05</v>
      </c>
      <c r="Y41" s="333">
        <v>0.05</v>
      </c>
      <c r="Z41" s="333">
        <v>0.05</v>
      </c>
      <c r="AA41" s="333">
        <v>0.05</v>
      </c>
      <c r="AB41" s="333">
        <v>0.05</v>
      </c>
      <c r="AC41" s="333">
        <v>0.05</v>
      </c>
      <c r="AD41" s="333">
        <v>0.05</v>
      </c>
      <c r="AE41" s="333">
        <v>0.05</v>
      </c>
    </row>
    <row r="42" spans="2:32" x14ac:dyDescent="0.25">
      <c r="B42" t="s">
        <v>282</v>
      </c>
      <c r="C42" s="157"/>
      <c r="D42" s="329"/>
      <c r="E42" s="363"/>
      <c r="F42" s="22"/>
      <c r="G42" s="22"/>
      <c r="H42" s="330"/>
      <c r="I42" s="22"/>
      <c r="K42" s="52"/>
    </row>
    <row r="43" spans="2:32" ht="18.75" x14ac:dyDescent="0.3">
      <c r="B43" t="s">
        <v>283</v>
      </c>
      <c r="C43" s="328" t="s">
        <v>283</v>
      </c>
      <c r="D43" s="335"/>
      <c r="E43" s="362"/>
      <c r="F43" s="326"/>
      <c r="G43" s="326"/>
      <c r="H43" s="327"/>
      <c r="I43" s="326"/>
      <c r="J43" s="326"/>
      <c r="K43" s="379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6"/>
      <c r="Y43" s="326"/>
      <c r="Z43" s="326"/>
      <c r="AA43" s="326"/>
      <c r="AB43" s="326"/>
      <c r="AC43" s="326"/>
      <c r="AD43" s="326"/>
      <c r="AE43" s="326"/>
      <c r="AF43" s="326"/>
    </row>
    <row r="44" spans="2:32" x14ac:dyDescent="0.25">
      <c r="B44" t="s">
        <v>283</v>
      </c>
      <c r="C44" s="157" t="s">
        <v>279</v>
      </c>
      <c r="D44" s="329" t="s">
        <v>269</v>
      </c>
      <c r="E44" s="363"/>
      <c r="F44" s="22"/>
      <c r="G44" s="22"/>
      <c r="H44" s="330"/>
      <c r="I44" s="22"/>
      <c r="J44">
        <v>12</v>
      </c>
      <c r="K44" s="52">
        <v>25</v>
      </c>
      <c r="L44">
        <v>50</v>
      </c>
      <c r="M44">
        <v>75</v>
      </c>
      <c r="N44">
        <v>112.5</v>
      </c>
      <c r="O44">
        <v>169</v>
      </c>
      <c r="P44">
        <v>211</v>
      </c>
      <c r="Q44">
        <v>264</v>
      </c>
      <c r="R44">
        <v>330</v>
      </c>
      <c r="S44">
        <v>412</v>
      </c>
      <c r="T44">
        <v>515</v>
      </c>
      <c r="U44">
        <v>644</v>
      </c>
      <c r="V44">
        <v>708</v>
      </c>
      <c r="W44">
        <v>779</v>
      </c>
      <c r="X44">
        <v>857</v>
      </c>
      <c r="Y44">
        <v>942</v>
      </c>
      <c r="Z44">
        <v>1037</v>
      </c>
      <c r="AA44">
        <v>1140</v>
      </c>
      <c r="AB44">
        <v>1254</v>
      </c>
      <c r="AC44">
        <v>1380</v>
      </c>
      <c r="AD44">
        <v>1518</v>
      </c>
      <c r="AE44">
        <v>1670</v>
      </c>
    </row>
    <row r="45" spans="2:32" x14ac:dyDescent="0.25">
      <c r="B45" t="s">
        <v>283</v>
      </c>
      <c r="C45" s="157" t="s">
        <v>303</v>
      </c>
      <c r="D45" s="329" t="s">
        <v>73</v>
      </c>
      <c r="E45" s="371"/>
      <c r="F45" s="12"/>
      <c r="G45" s="12"/>
      <c r="H45" s="344"/>
      <c r="I45" s="12"/>
      <c r="J45" s="237">
        <v>1400000</v>
      </c>
      <c r="K45" s="237">
        <v>1400000</v>
      </c>
      <c r="L45" s="237">
        <v>1400000</v>
      </c>
      <c r="M45" s="237">
        <v>1400000</v>
      </c>
      <c r="N45" s="237">
        <v>1400000</v>
      </c>
      <c r="O45" s="237">
        <v>1400000</v>
      </c>
      <c r="P45" s="237">
        <v>1400000</v>
      </c>
      <c r="Q45" s="237">
        <v>1400000</v>
      </c>
      <c r="R45" s="237">
        <v>1400000</v>
      </c>
      <c r="S45" s="237">
        <v>1400000</v>
      </c>
      <c r="T45" s="237">
        <v>1400000</v>
      </c>
      <c r="U45" s="237">
        <v>1400000</v>
      </c>
      <c r="V45" s="237">
        <v>1400000</v>
      </c>
      <c r="W45" s="237">
        <v>1400000</v>
      </c>
      <c r="X45" s="237">
        <v>1400000</v>
      </c>
      <c r="Y45" s="237">
        <v>1400000</v>
      </c>
      <c r="Z45" s="237">
        <v>1400000</v>
      </c>
      <c r="AA45" s="237">
        <v>1400000</v>
      </c>
      <c r="AB45" s="237">
        <v>1400000</v>
      </c>
      <c r="AC45" s="237">
        <v>1400000</v>
      </c>
      <c r="AD45" s="237">
        <v>1400000</v>
      </c>
      <c r="AE45" s="237">
        <v>1400000</v>
      </c>
    </row>
    <row r="46" spans="2:32" x14ac:dyDescent="0.25">
      <c r="B46" t="s">
        <v>283</v>
      </c>
      <c r="C46" s="157" t="s">
        <v>285</v>
      </c>
      <c r="D46" s="329" t="s">
        <v>284</v>
      </c>
      <c r="E46" s="363"/>
      <c r="F46" s="22"/>
      <c r="G46" s="22"/>
      <c r="H46" s="330"/>
      <c r="I46" s="22"/>
      <c r="J46">
        <v>20</v>
      </c>
      <c r="K46">
        <v>20</v>
      </c>
      <c r="L46">
        <v>20</v>
      </c>
      <c r="M46">
        <v>20</v>
      </c>
      <c r="N46">
        <v>20</v>
      </c>
      <c r="O46">
        <v>20</v>
      </c>
      <c r="P46">
        <v>20</v>
      </c>
      <c r="Q46">
        <v>20</v>
      </c>
      <c r="R46">
        <v>20</v>
      </c>
      <c r="S46">
        <v>20</v>
      </c>
      <c r="T46">
        <v>20</v>
      </c>
      <c r="U46">
        <v>20</v>
      </c>
      <c r="V46">
        <v>20</v>
      </c>
      <c r="W46">
        <v>20</v>
      </c>
      <c r="X46">
        <v>20</v>
      </c>
      <c r="Y46">
        <v>20</v>
      </c>
      <c r="Z46">
        <v>20</v>
      </c>
      <c r="AA46">
        <v>20</v>
      </c>
      <c r="AB46">
        <v>20</v>
      </c>
      <c r="AC46">
        <v>20</v>
      </c>
      <c r="AD46">
        <v>20</v>
      </c>
      <c r="AE46">
        <v>20</v>
      </c>
    </row>
    <row r="47" spans="2:32" x14ac:dyDescent="0.25">
      <c r="B47" t="s">
        <v>283</v>
      </c>
      <c r="C47" s="157" t="s">
        <v>271</v>
      </c>
      <c r="D47" s="329" t="s">
        <v>301</v>
      </c>
      <c r="E47" s="363">
        <v>150</v>
      </c>
      <c r="F47" s="22">
        <v>150</v>
      </c>
      <c r="G47" s="22">
        <v>150</v>
      </c>
      <c r="H47" s="330">
        <v>150</v>
      </c>
      <c r="I47" s="22">
        <v>150</v>
      </c>
      <c r="J47">
        <v>150</v>
      </c>
      <c r="K47" s="23">
        <v>150</v>
      </c>
      <c r="L47">
        <v>150</v>
      </c>
      <c r="M47" s="22">
        <v>150</v>
      </c>
      <c r="N47">
        <v>150</v>
      </c>
      <c r="O47">
        <v>150</v>
      </c>
      <c r="P47" s="363">
        <v>150</v>
      </c>
      <c r="Q47" s="22">
        <v>150</v>
      </c>
      <c r="R47" s="22">
        <v>150</v>
      </c>
      <c r="S47" s="330">
        <v>150</v>
      </c>
      <c r="T47" s="22">
        <v>150</v>
      </c>
      <c r="U47">
        <v>150</v>
      </c>
      <c r="V47" s="22">
        <v>150</v>
      </c>
      <c r="W47">
        <v>150</v>
      </c>
      <c r="X47" s="22">
        <v>150</v>
      </c>
      <c r="Y47">
        <v>150</v>
      </c>
      <c r="Z47">
        <v>150</v>
      </c>
      <c r="AA47" s="363">
        <v>150</v>
      </c>
      <c r="AB47" s="22">
        <v>150</v>
      </c>
      <c r="AC47" s="22">
        <v>150</v>
      </c>
      <c r="AD47" s="330">
        <v>150</v>
      </c>
      <c r="AE47" s="22">
        <v>150</v>
      </c>
    </row>
    <row r="48" spans="2:32" x14ac:dyDescent="0.25">
      <c r="B48" t="s">
        <v>283</v>
      </c>
      <c r="C48" s="157" t="s">
        <v>275</v>
      </c>
      <c r="D48" s="329" t="s">
        <v>274</v>
      </c>
      <c r="E48" s="363"/>
      <c r="F48" s="22"/>
      <c r="G48" s="22"/>
      <c r="H48" s="332">
        <v>665000</v>
      </c>
      <c r="I48" s="14">
        <f>('TEA values'!$C$24*I47*365*20+500000*(3/4))/2</f>
        <v>357225</v>
      </c>
      <c r="J48" s="14">
        <f>'TEA values'!E$24*150*365*20</f>
        <v>284700</v>
      </c>
      <c r="K48" s="15">
        <f>'TEA values'!G$24*150*365*20</f>
        <v>219000</v>
      </c>
      <c r="L48" s="14">
        <f>'TEA values'!I$24*150*365*20</f>
        <v>175200</v>
      </c>
      <c r="M48" s="14">
        <f>'TEA values'!K$24*150*365*20</f>
        <v>153300.00000000003</v>
      </c>
      <c r="N48" s="14">
        <f>'TEA values'!M$24*150*365*20</f>
        <v>142350</v>
      </c>
      <c r="O48" s="14">
        <f>'TEA values'!O$24*150*365*20</f>
        <v>131400</v>
      </c>
    </row>
    <row r="49" spans="2:32" x14ac:dyDescent="0.25">
      <c r="B49" t="s">
        <v>283</v>
      </c>
      <c r="C49" s="157" t="s">
        <v>292</v>
      </c>
      <c r="D49" s="329" t="s">
        <v>284</v>
      </c>
      <c r="E49" s="363">
        <v>20</v>
      </c>
      <c r="F49" s="22">
        <v>20</v>
      </c>
      <c r="G49" s="22">
        <v>20</v>
      </c>
      <c r="H49" s="330">
        <v>20</v>
      </c>
      <c r="I49" s="22">
        <v>20</v>
      </c>
      <c r="J49" s="22">
        <v>20</v>
      </c>
      <c r="K49" s="23">
        <v>20</v>
      </c>
      <c r="L49" s="22">
        <v>20</v>
      </c>
      <c r="M49" s="22">
        <v>20</v>
      </c>
      <c r="N49" s="22">
        <v>20</v>
      </c>
      <c r="O49" s="22">
        <v>20</v>
      </c>
      <c r="P49" s="22">
        <v>20</v>
      </c>
      <c r="Q49" s="22">
        <v>20</v>
      </c>
      <c r="R49" s="22">
        <v>20</v>
      </c>
      <c r="S49" s="22">
        <v>20</v>
      </c>
      <c r="T49" s="22">
        <v>20</v>
      </c>
      <c r="U49" s="22">
        <v>20</v>
      </c>
      <c r="V49" s="22">
        <v>20</v>
      </c>
      <c r="W49" s="22">
        <v>20</v>
      </c>
      <c r="X49" s="22">
        <v>20</v>
      </c>
      <c r="Y49" s="22">
        <v>20</v>
      </c>
      <c r="Z49" s="22">
        <v>20</v>
      </c>
      <c r="AA49" s="22">
        <v>20</v>
      </c>
      <c r="AB49" s="22">
        <v>20</v>
      </c>
      <c r="AC49" s="22">
        <v>20</v>
      </c>
      <c r="AD49" s="22">
        <v>20</v>
      </c>
      <c r="AE49" s="22">
        <v>20</v>
      </c>
    </row>
    <row r="50" spans="2:32" x14ac:dyDescent="0.25">
      <c r="B50" t="s">
        <v>283</v>
      </c>
      <c r="C50" s="157" t="s">
        <v>313</v>
      </c>
      <c r="D50" s="329" t="s">
        <v>19</v>
      </c>
      <c r="E50" s="366">
        <v>0.05</v>
      </c>
      <c r="F50" s="333">
        <v>0.05</v>
      </c>
      <c r="G50" s="333">
        <v>0.05</v>
      </c>
      <c r="H50" s="334">
        <v>0.05</v>
      </c>
      <c r="I50" s="333">
        <v>0.05</v>
      </c>
      <c r="J50" s="333">
        <v>0.05</v>
      </c>
      <c r="K50" s="380">
        <v>0.05</v>
      </c>
      <c r="L50" s="333">
        <v>0.05</v>
      </c>
      <c r="M50" s="333">
        <v>0.05</v>
      </c>
      <c r="N50" s="333">
        <v>0.05</v>
      </c>
      <c r="O50" s="333">
        <v>0.05</v>
      </c>
      <c r="P50" s="333">
        <v>0.05</v>
      </c>
      <c r="Q50" s="333">
        <v>0.05</v>
      </c>
      <c r="R50" s="333">
        <v>0.05</v>
      </c>
      <c r="S50" s="333">
        <v>0.05</v>
      </c>
      <c r="T50" s="333">
        <v>0.05</v>
      </c>
      <c r="U50" s="333">
        <v>0.05</v>
      </c>
      <c r="V50" s="333">
        <v>0.05</v>
      </c>
      <c r="W50" s="333">
        <v>0.05</v>
      </c>
      <c r="X50" s="333">
        <v>0.05</v>
      </c>
      <c r="Y50" s="333">
        <v>0.05</v>
      </c>
      <c r="Z50" s="333">
        <v>0.05</v>
      </c>
      <c r="AA50" s="333">
        <v>0.05</v>
      </c>
      <c r="AB50" s="333">
        <v>0.05</v>
      </c>
      <c r="AC50" s="333">
        <v>0.05</v>
      </c>
      <c r="AD50" s="333">
        <v>0.05</v>
      </c>
      <c r="AE50" s="333">
        <v>0.05</v>
      </c>
    </row>
    <row r="51" spans="2:32" x14ac:dyDescent="0.25">
      <c r="B51" t="s">
        <v>283</v>
      </c>
      <c r="C51" s="157"/>
      <c r="D51" s="329"/>
      <c r="E51" s="363"/>
      <c r="F51" s="22"/>
      <c r="G51" s="22"/>
      <c r="H51" s="330"/>
      <c r="I51" s="22"/>
      <c r="K51" s="52"/>
    </row>
    <row r="52" spans="2:32" ht="18.75" x14ac:dyDescent="0.3">
      <c r="B52" t="s">
        <v>265</v>
      </c>
      <c r="C52" s="328" t="s">
        <v>265</v>
      </c>
      <c r="D52" s="335"/>
      <c r="E52" s="362"/>
      <c r="F52" s="326"/>
      <c r="G52" s="326"/>
      <c r="H52" s="327"/>
      <c r="I52" s="326"/>
      <c r="J52" s="326"/>
      <c r="K52" s="379"/>
      <c r="L52" s="326"/>
      <c r="M52" s="326"/>
      <c r="N52" s="326"/>
      <c r="O52" s="326"/>
      <c r="P52" s="326"/>
      <c r="Q52" s="326"/>
      <c r="R52" s="326"/>
      <c r="S52" s="326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326"/>
      <c r="AE52" s="326"/>
      <c r="AF52" s="326"/>
    </row>
    <row r="53" spans="2:32" x14ac:dyDescent="0.25">
      <c r="B53" t="s">
        <v>265</v>
      </c>
      <c r="C53" s="157" t="s">
        <v>304</v>
      </c>
      <c r="D53" s="329" t="s">
        <v>269</v>
      </c>
      <c r="E53" s="365"/>
      <c r="F53" s="14"/>
      <c r="G53" s="14"/>
      <c r="H53" s="332"/>
      <c r="I53" s="14"/>
      <c r="K53" s="52"/>
    </row>
    <row r="54" spans="2:32" x14ac:dyDescent="0.25">
      <c r="B54" t="s">
        <v>265</v>
      </c>
      <c r="C54" s="157" t="s">
        <v>267</v>
      </c>
      <c r="D54" s="329" t="s">
        <v>73</v>
      </c>
      <c r="E54" s="365"/>
      <c r="F54" s="14"/>
      <c r="G54" s="14"/>
      <c r="H54" s="332"/>
      <c r="I54" s="14"/>
      <c r="K54" s="52"/>
    </row>
    <row r="55" spans="2:32" x14ac:dyDescent="0.25">
      <c r="B55" t="s">
        <v>265</v>
      </c>
      <c r="C55" s="157" t="s">
        <v>270</v>
      </c>
      <c r="D55" s="329" t="s">
        <v>38</v>
      </c>
      <c r="E55" s="364">
        <f>('TEA values'!$C$17-('TEA values'!$C$25+'TEA values'!$C$26))</f>
        <v>0.28000000000000003</v>
      </c>
      <c r="F55" s="19">
        <f>('TEA values'!$C$17-('TEA values'!$C$25+'TEA values'!$C$26))</f>
        <v>0.28000000000000003</v>
      </c>
      <c r="G55" s="19">
        <f>('TEA values'!$C$17-('TEA values'!$C$25+'TEA values'!$C$26))</f>
        <v>0.28000000000000003</v>
      </c>
      <c r="H55" s="331">
        <f>('TEA values'!$C$17-('TEA values'!$C$25+'TEA values'!$C$26))</f>
        <v>0.28000000000000003</v>
      </c>
      <c r="I55" s="19">
        <f>('TEA values'!$C$17-('TEA values'!$C$25+'TEA values'!$C$26))</f>
        <v>0.28000000000000003</v>
      </c>
      <c r="J55" s="19">
        <f>('TEA values'!$C$17-('TEA values'!$C$25+'TEA values'!$C$26))</f>
        <v>0.28000000000000003</v>
      </c>
      <c r="K55" s="32">
        <f>('TEA values'!$C$17-('TEA values'!$C$25+'TEA values'!$C$26))</f>
        <v>0.28000000000000003</v>
      </c>
      <c r="L55" s="19">
        <f>('TEA values'!$C$17-('TEA values'!$C$25+'TEA values'!$C$26))</f>
        <v>0.28000000000000003</v>
      </c>
      <c r="M55" s="19">
        <f>('TEA values'!$C$17-('TEA values'!$C$25+'TEA values'!$C$26))</f>
        <v>0.28000000000000003</v>
      </c>
      <c r="N55" s="19">
        <f>('TEA values'!$C$17-('TEA values'!$C$25+'TEA values'!$C$26))</f>
        <v>0.28000000000000003</v>
      </c>
      <c r="O55" s="19">
        <f>('TEA values'!$C$17-('TEA values'!$C$25+'TEA values'!$C$26))</f>
        <v>0.28000000000000003</v>
      </c>
      <c r="P55" s="364">
        <f>('TEA values'!$C$17-('TEA values'!$C$25+'TEA values'!$C$26))</f>
        <v>0.28000000000000003</v>
      </c>
      <c r="Q55" s="19">
        <f>('TEA values'!$C$17-('TEA values'!$C$25+'TEA values'!$C$26))</f>
        <v>0.28000000000000003</v>
      </c>
      <c r="R55" s="19">
        <f>('TEA values'!$C$17-('TEA values'!$C$25+'TEA values'!$C$26))</f>
        <v>0.28000000000000003</v>
      </c>
      <c r="S55" s="331">
        <f>('TEA values'!$C$17-('TEA values'!$C$25+'TEA values'!$C$26))</f>
        <v>0.28000000000000003</v>
      </c>
      <c r="T55" s="19">
        <f>('TEA values'!$C$17-('TEA values'!$C$25+'TEA values'!$C$26))</f>
        <v>0.28000000000000003</v>
      </c>
      <c r="U55" s="19">
        <f>('TEA values'!$C$17-('TEA values'!$C$25+'TEA values'!$C$26))</f>
        <v>0.28000000000000003</v>
      </c>
      <c r="V55" s="19">
        <f>('TEA values'!$C$17-('TEA values'!$C$25+'TEA values'!$C$26))</f>
        <v>0.28000000000000003</v>
      </c>
      <c r="W55" s="19">
        <f>('TEA values'!$C$17-('TEA values'!$C$25+'TEA values'!$C$26))</f>
        <v>0.28000000000000003</v>
      </c>
      <c r="X55" s="19">
        <f>('TEA values'!$C$17-('TEA values'!$C$25+'TEA values'!$C$26))</f>
        <v>0.28000000000000003</v>
      </c>
      <c r="Y55" s="19">
        <f>('TEA values'!$C$17-('TEA values'!$C$25+'TEA values'!$C$26))</f>
        <v>0.28000000000000003</v>
      </c>
      <c r="Z55" s="19">
        <f>('TEA values'!$C$17-('TEA values'!$C$25+'TEA values'!$C$26))</f>
        <v>0.28000000000000003</v>
      </c>
      <c r="AA55" s="364">
        <f>('TEA values'!$C$17-('TEA values'!$C$25+'TEA values'!$C$26))</f>
        <v>0.28000000000000003</v>
      </c>
      <c r="AB55" s="19">
        <f>('TEA values'!$C$17-('TEA values'!$C$25+'TEA values'!$C$26))</f>
        <v>0.28000000000000003</v>
      </c>
      <c r="AC55" s="19">
        <f>('TEA values'!$C$17-('TEA values'!$C$25+'TEA values'!$C$26))</f>
        <v>0.28000000000000003</v>
      </c>
      <c r="AD55" s="331">
        <f>('TEA values'!$C$17-('TEA values'!$C$25+'TEA values'!$C$26))</f>
        <v>0.28000000000000003</v>
      </c>
      <c r="AE55" s="19">
        <f>('TEA values'!$C$17-('TEA values'!$C$25+'TEA values'!$C$26))</f>
        <v>0.28000000000000003</v>
      </c>
    </row>
    <row r="56" spans="2:32" x14ac:dyDescent="0.25">
      <c r="B56" t="s">
        <v>265</v>
      </c>
      <c r="C56" s="157" t="s">
        <v>271</v>
      </c>
      <c r="D56" s="329" t="s">
        <v>301</v>
      </c>
      <c r="E56" s="363">
        <v>150</v>
      </c>
      <c r="F56" s="22">
        <v>150</v>
      </c>
      <c r="G56" s="22">
        <v>150</v>
      </c>
      <c r="H56" s="330">
        <v>150</v>
      </c>
      <c r="I56" s="22">
        <v>150</v>
      </c>
      <c r="J56" s="22">
        <v>150</v>
      </c>
      <c r="K56" s="23">
        <v>150</v>
      </c>
      <c r="L56" s="22">
        <v>150</v>
      </c>
      <c r="M56" s="22">
        <v>150</v>
      </c>
      <c r="N56" s="22">
        <v>150</v>
      </c>
      <c r="O56" s="22">
        <v>150</v>
      </c>
      <c r="P56" s="363">
        <v>150</v>
      </c>
      <c r="Q56" s="22">
        <v>150</v>
      </c>
      <c r="R56" s="22">
        <v>150</v>
      </c>
      <c r="S56" s="330">
        <v>150</v>
      </c>
      <c r="T56" s="22">
        <v>150</v>
      </c>
      <c r="U56" s="22">
        <v>150</v>
      </c>
      <c r="V56" s="22">
        <v>150</v>
      </c>
      <c r="W56" s="22">
        <v>150</v>
      </c>
      <c r="X56" s="22">
        <v>150</v>
      </c>
      <c r="Y56" s="22">
        <v>150</v>
      </c>
      <c r="Z56" s="22">
        <v>150</v>
      </c>
      <c r="AA56" s="363">
        <v>150</v>
      </c>
      <c r="AB56" s="22">
        <v>150</v>
      </c>
      <c r="AC56" s="22">
        <v>150</v>
      </c>
      <c r="AD56" s="330">
        <v>150</v>
      </c>
      <c r="AE56" s="22">
        <v>150</v>
      </c>
    </row>
    <row r="57" spans="2:32" x14ac:dyDescent="0.25">
      <c r="B57" t="s">
        <v>265</v>
      </c>
      <c r="C57" s="157" t="s">
        <v>272</v>
      </c>
      <c r="D57" s="329" t="s">
        <v>273</v>
      </c>
      <c r="E57" s="363">
        <f t="shared" ref="E57:AE57" si="5">365*0.9</f>
        <v>328.5</v>
      </c>
      <c r="F57" s="22">
        <f t="shared" si="5"/>
        <v>328.5</v>
      </c>
      <c r="G57" s="22">
        <f t="shared" si="5"/>
        <v>328.5</v>
      </c>
      <c r="H57" s="330">
        <f>365*0.9</f>
        <v>328.5</v>
      </c>
      <c r="I57" s="22">
        <f t="shared" si="5"/>
        <v>328.5</v>
      </c>
      <c r="J57" s="22">
        <f t="shared" si="5"/>
        <v>328.5</v>
      </c>
      <c r="K57" s="23">
        <f t="shared" si="5"/>
        <v>328.5</v>
      </c>
      <c r="L57" s="22">
        <f t="shared" si="5"/>
        <v>328.5</v>
      </c>
      <c r="M57" s="22">
        <f t="shared" si="5"/>
        <v>328.5</v>
      </c>
      <c r="N57" s="22">
        <f t="shared" si="5"/>
        <v>328.5</v>
      </c>
      <c r="O57" s="22">
        <f t="shared" si="5"/>
        <v>328.5</v>
      </c>
      <c r="P57" s="363">
        <f t="shared" si="5"/>
        <v>328.5</v>
      </c>
      <c r="Q57" s="22">
        <f t="shared" si="5"/>
        <v>328.5</v>
      </c>
      <c r="R57" s="22">
        <f t="shared" si="5"/>
        <v>328.5</v>
      </c>
      <c r="S57" s="330">
        <f t="shared" si="5"/>
        <v>328.5</v>
      </c>
      <c r="T57" s="22">
        <f t="shared" si="5"/>
        <v>328.5</v>
      </c>
      <c r="U57" s="22">
        <f t="shared" si="5"/>
        <v>328.5</v>
      </c>
      <c r="V57" s="22">
        <f t="shared" si="5"/>
        <v>328.5</v>
      </c>
      <c r="W57" s="22">
        <f t="shared" si="5"/>
        <v>328.5</v>
      </c>
      <c r="X57" s="22">
        <f t="shared" si="5"/>
        <v>328.5</v>
      </c>
      <c r="Y57" s="22">
        <f t="shared" si="5"/>
        <v>328.5</v>
      </c>
      <c r="Z57" s="22">
        <f t="shared" si="5"/>
        <v>328.5</v>
      </c>
      <c r="AA57" s="363">
        <f t="shared" si="5"/>
        <v>328.5</v>
      </c>
      <c r="AB57" s="22">
        <f t="shared" si="5"/>
        <v>328.5</v>
      </c>
      <c r="AC57" s="22">
        <f t="shared" si="5"/>
        <v>328.5</v>
      </c>
      <c r="AD57" s="330">
        <f t="shared" si="5"/>
        <v>328.5</v>
      </c>
      <c r="AE57" s="22">
        <f t="shared" si="5"/>
        <v>328.5</v>
      </c>
    </row>
    <row r="58" spans="2:32" x14ac:dyDescent="0.25">
      <c r="B58" t="s">
        <v>265</v>
      </c>
      <c r="C58" s="157" t="s">
        <v>275</v>
      </c>
      <c r="D58" s="329" t="s">
        <v>274</v>
      </c>
      <c r="E58" s="363"/>
      <c r="F58" s="22"/>
      <c r="G58" s="22"/>
      <c r="H58" s="332">
        <v>665000</v>
      </c>
      <c r="I58" s="14">
        <f>('TEA values'!$C$24*I56*365*20+500000*(3/4))/2</f>
        <v>357225</v>
      </c>
      <c r="J58" s="14">
        <f>'TEA values'!E$24*150*365*20</f>
        <v>284700</v>
      </c>
      <c r="K58" s="15">
        <f>'TEA values'!G$24*150*365*20</f>
        <v>219000</v>
      </c>
      <c r="L58" s="14">
        <f>'TEA values'!I$24*150*365*20</f>
        <v>175200</v>
      </c>
      <c r="M58" s="14">
        <f>'TEA values'!K$24*150*365*20</f>
        <v>153300.00000000003</v>
      </c>
      <c r="N58" s="14">
        <f>'TEA values'!M$24*150*365*20</f>
        <v>142350</v>
      </c>
      <c r="O58" s="14">
        <f>'TEA values'!O$24*150*365*20</f>
        <v>131400</v>
      </c>
    </row>
    <row r="59" spans="2:32" x14ac:dyDescent="0.25">
      <c r="B59" t="s">
        <v>265</v>
      </c>
      <c r="C59" s="157" t="s">
        <v>292</v>
      </c>
      <c r="D59" s="329" t="s">
        <v>284</v>
      </c>
      <c r="E59" s="363">
        <v>20</v>
      </c>
      <c r="F59" s="22">
        <v>20</v>
      </c>
      <c r="G59" s="22">
        <v>20</v>
      </c>
      <c r="H59" s="330">
        <v>20</v>
      </c>
      <c r="I59" s="22">
        <v>20</v>
      </c>
      <c r="J59" s="22">
        <v>20</v>
      </c>
      <c r="K59" s="23">
        <v>20</v>
      </c>
      <c r="L59" s="22">
        <v>20</v>
      </c>
      <c r="M59" s="22">
        <v>20</v>
      </c>
      <c r="N59" s="22">
        <v>20</v>
      </c>
      <c r="O59" s="22">
        <v>20</v>
      </c>
      <c r="P59" s="22">
        <v>20</v>
      </c>
      <c r="Q59" s="22">
        <v>20</v>
      </c>
      <c r="R59" s="22">
        <v>20</v>
      </c>
      <c r="S59" s="22">
        <v>20</v>
      </c>
      <c r="T59" s="22">
        <v>20</v>
      </c>
      <c r="U59" s="22">
        <v>20</v>
      </c>
      <c r="V59" s="22">
        <v>20</v>
      </c>
      <c r="W59" s="22">
        <v>20</v>
      </c>
      <c r="X59" s="22">
        <v>20</v>
      </c>
      <c r="Y59" s="22">
        <v>20</v>
      </c>
      <c r="Z59" s="22">
        <v>20</v>
      </c>
      <c r="AA59" s="22">
        <v>20</v>
      </c>
      <c r="AB59" s="22">
        <v>20</v>
      </c>
      <c r="AC59" s="22">
        <v>20</v>
      </c>
      <c r="AD59" s="22">
        <v>20</v>
      </c>
      <c r="AE59" s="22">
        <v>20</v>
      </c>
    </row>
    <row r="60" spans="2:32" x14ac:dyDescent="0.25">
      <c r="B60" t="s">
        <v>265</v>
      </c>
      <c r="C60" s="157" t="s">
        <v>313</v>
      </c>
      <c r="D60" s="329" t="s">
        <v>19</v>
      </c>
      <c r="E60" s="366">
        <v>0.05</v>
      </c>
      <c r="F60" s="333">
        <v>0.05</v>
      </c>
      <c r="G60" s="333">
        <v>0.05</v>
      </c>
      <c r="H60" s="334">
        <v>0.05</v>
      </c>
      <c r="I60" s="333">
        <v>0.05</v>
      </c>
      <c r="J60" s="333">
        <v>0.05</v>
      </c>
      <c r="K60" s="380">
        <v>0.05</v>
      </c>
      <c r="L60" s="333">
        <v>0.05</v>
      </c>
      <c r="M60" s="333">
        <v>0.05</v>
      </c>
      <c r="N60" s="333">
        <v>0.05</v>
      </c>
      <c r="O60" s="333">
        <v>0.05</v>
      </c>
      <c r="P60" s="333">
        <v>0.05</v>
      </c>
      <c r="Q60" s="333">
        <v>0.05</v>
      </c>
      <c r="R60" s="333">
        <v>0.05</v>
      </c>
      <c r="S60" s="333">
        <v>0.05</v>
      </c>
      <c r="T60" s="333">
        <v>0.05</v>
      </c>
      <c r="U60" s="333">
        <v>0.05</v>
      </c>
      <c r="V60" s="333">
        <v>0.05</v>
      </c>
      <c r="W60" s="333">
        <v>0.05</v>
      </c>
      <c r="X60" s="333">
        <v>0.05</v>
      </c>
      <c r="Y60" s="333">
        <v>0.05</v>
      </c>
      <c r="Z60" s="333">
        <v>0.05</v>
      </c>
      <c r="AA60" s="333">
        <v>0.05</v>
      </c>
      <c r="AB60" s="333">
        <v>0.05</v>
      </c>
      <c r="AC60" s="333">
        <v>0.05</v>
      </c>
      <c r="AD60" s="333">
        <v>0.05</v>
      </c>
      <c r="AE60" s="333">
        <v>0.05</v>
      </c>
    </row>
    <row r="61" spans="2:32" x14ac:dyDescent="0.25">
      <c r="B61" t="s">
        <v>265</v>
      </c>
      <c r="C61" s="157"/>
      <c r="D61" s="329"/>
      <c r="E61" s="363"/>
      <c r="F61" s="22"/>
      <c r="G61" s="22"/>
      <c r="H61" s="330"/>
      <c r="I61" s="22"/>
      <c r="J61" s="22"/>
      <c r="K61" s="23"/>
      <c r="L61" s="22"/>
      <c r="M61" s="22"/>
      <c r="N61" s="22"/>
      <c r="O61" s="22"/>
    </row>
    <row r="62" spans="2:32" ht="18.75" x14ac:dyDescent="0.3">
      <c r="B62" t="s">
        <v>278</v>
      </c>
      <c r="C62" s="328" t="s">
        <v>278</v>
      </c>
      <c r="D62" s="335"/>
      <c r="E62" s="362"/>
      <c r="F62" s="326"/>
      <c r="G62" s="326"/>
      <c r="H62" s="327"/>
      <c r="I62" s="326"/>
      <c r="J62" s="326"/>
      <c r="K62" s="379"/>
      <c r="L62" s="326"/>
      <c r="M62" s="326"/>
      <c r="N62" s="326"/>
      <c r="O62" s="326"/>
      <c r="P62" s="326"/>
      <c r="Q62" s="326"/>
      <c r="R62" s="326"/>
      <c r="S62" s="326"/>
      <c r="T62" s="326"/>
      <c r="U62" s="326"/>
      <c r="V62" s="326"/>
      <c r="W62" s="326"/>
      <c r="X62" s="326"/>
      <c r="Y62" s="326"/>
      <c r="Z62" s="326"/>
      <c r="AA62" s="326"/>
      <c r="AB62" s="326"/>
      <c r="AC62" s="326"/>
      <c r="AD62" s="326"/>
      <c r="AE62" s="326"/>
      <c r="AF62" s="326"/>
    </row>
    <row r="63" spans="2:32" x14ac:dyDescent="0.25">
      <c r="B63" t="s">
        <v>278</v>
      </c>
      <c r="C63" s="157" t="s">
        <v>304</v>
      </c>
      <c r="D63" s="329" t="s">
        <v>269</v>
      </c>
      <c r="E63" s="400"/>
      <c r="F63" s="401"/>
      <c r="G63" s="401"/>
      <c r="H63" s="402"/>
      <c r="I63" s="401"/>
      <c r="J63" s="401"/>
      <c r="K63" s="401"/>
      <c r="L63" s="401"/>
      <c r="M63" s="401"/>
      <c r="N63" s="401"/>
      <c r="O63" s="401"/>
      <c r="P63" s="401"/>
      <c r="Q63" s="401"/>
      <c r="R63" s="401"/>
      <c r="S63" s="401"/>
      <c r="T63" s="401"/>
      <c r="U63" s="401"/>
      <c r="V63" s="401"/>
      <c r="W63" s="401"/>
      <c r="X63" s="401"/>
      <c r="Y63" s="401"/>
      <c r="Z63" s="401"/>
      <c r="AA63" s="401"/>
      <c r="AB63" s="401"/>
      <c r="AC63" s="401"/>
      <c r="AD63" s="401"/>
      <c r="AE63" s="401"/>
    </row>
    <row r="64" spans="2:32" x14ac:dyDescent="0.25">
      <c r="B64" t="s">
        <v>278</v>
      </c>
      <c r="C64" s="157" t="s">
        <v>267</v>
      </c>
      <c r="D64" s="329" t="s">
        <v>73</v>
      </c>
      <c r="E64" s="365"/>
      <c r="F64" s="14"/>
      <c r="G64" s="14"/>
      <c r="H64" s="332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</row>
    <row r="65" spans="2:32" x14ac:dyDescent="0.25">
      <c r="B65" t="s">
        <v>278</v>
      </c>
      <c r="C65" s="157" t="s">
        <v>277</v>
      </c>
      <c r="D65" s="329" t="s">
        <v>276</v>
      </c>
      <c r="E65" s="365"/>
      <c r="F65" s="14"/>
      <c r="G65" s="14"/>
      <c r="H65" s="332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</row>
    <row r="66" spans="2:32" x14ac:dyDescent="0.25">
      <c r="B66" t="s">
        <v>278</v>
      </c>
      <c r="C66" s="157" t="s">
        <v>271</v>
      </c>
      <c r="D66" s="329" t="s">
        <v>301</v>
      </c>
      <c r="E66" s="363">
        <v>150</v>
      </c>
      <c r="F66" s="22">
        <v>150</v>
      </c>
      <c r="G66" s="22">
        <v>150</v>
      </c>
      <c r="H66" s="330">
        <v>150</v>
      </c>
      <c r="I66" s="22">
        <v>150</v>
      </c>
      <c r="J66" s="22">
        <v>150</v>
      </c>
      <c r="K66" s="23">
        <v>150</v>
      </c>
      <c r="L66" s="22">
        <v>150</v>
      </c>
      <c r="M66" s="22">
        <v>150</v>
      </c>
      <c r="N66" s="22">
        <v>150</v>
      </c>
      <c r="O66" s="22">
        <v>150</v>
      </c>
      <c r="P66" s="363">
        <v>150</v>
      </c>
      <c r="Q66" s="22">
        <v>150</v>
      </c>
      <c r="R66" s="22">
        <v>150</v>
      </c>
      <c r="S66" s="330">
        <v>150</v>
      </c>
      <c r="T66" s="22">
        <v>150</v>
      </c>
      <c r="U66" s="22">
        <v>150</v>
      </c>
      <c r="V66" s="22">
        <v>150</v>
      </c>
      <c r="W66" s="22">
        <v>150</v>
      </c>
      <c r="X66" s="22">
        <v>150</v>
      </c>
      <c r="Y66" s="22">
        <v>150</v>
      </c>
      <c r="Z66" s="22">
        <v>150</v>
      </c>
      <c r="AA66" s="363">
        <v>150</v>
      </c>
      <c r="AB66" s="22">
        <v>150</v>
      </c>
      <c r="AC66" s="22">
        <v>150</v>
      </c>
      <c r="AD66" s="330">
        <v>150</v>
      </c>
      <c r="AE66" s="22">
        <v>150</v>
      </c>
    </row>
    <row r="67" spans="2:32" x14ac:dyDescent="0.25">
      <c r="B67" t="s">
        <v>278</v>
      </c>
      <c r="C67" s="157" t="s">
        <v>275</v>
      </c>
      <c r="D67" s="329" t="s">
        <v>274</v>
      </c>
      <c r="E67" s="363"/>
      <c r="F67" s="22"/>
      <c r="G67" s="22"/>
      <c r="H67" s="332">
        <v>665000</v>
      </c>
      <c r="I67" s="14">
        <f>('TEA values'!$C$24*I66*365*20+500000*(3/4))/2</f>
        <v>357225</v>
      </c>
      <c r="J67" s="14">
        <f>'TEA values'!E$24*150*365*20</f>
        <v>284700</v>
      </c>
      <c r="K67" s="15">
        <f>'TEA values'!G$24*150*365*20</f>
        <v>219000</v>
      </c>
      <c r="L67" s="14">
        <f>'TEA values'!I$24*150*365*20</f>
        <v>175200</v>
      </c>
      <c r="M67" s="14">
        <f>'TEA values'!K$24*150*365*20</f>
        <v>153300.00000000003</v>
      </c>
      <c r="N67" s="14">
        <f>'TEA values'!M$24*150*365*20</f>
        <v>142350</v>
      </c>
      <c r="O67" s="14">
        <f>'TEA values'!O$24*150*365*20</f>
        <v>131400</v>
      </c>
    </row>
    <row r="68" spans="2:32" x14ac:dyDescent="0.25">
      <c r="B68" t="s">
        <v>278</v>
      </c>
      <c r="C68" s="157" t="s">
        <v>292</v>
      </c>
      <c r="D68" s="329" t="s">
        <v>284</v>
      </c>
      <c r="E68" s="363">
        <v>20</v>
      </c>
      <c r="F68" s="22">
        <v>20</v>
      </c>
      <c r="G68" s="22">
        <v>20</v>
      </c>
      <c r="H68" s="330">
        <v>20</v>
      </c>
      <c r="I68" s="22">
        <v>20</v>
      </c>
      <c r="J68" s="22">
        <v>20</v>
      </c>
      <c r="K68" s="23">
        <v>20</v>
      </c>
      <c r="L68" s="22">
        <v>20</v>
      </c>
      <c r="M68" s="22">
        <v>20</v>
      </c>
      <c r="N68" s="22">
        <v>20</v>
      </c>
      <c r="O68" s="22">
        <v>20</v>
      </c>
      <c r="P68" s="22">
        <v>20</v>
      </c>
      <c r="Q68" s="22">
        <v>20</v>
      </c>
      <c r="R68" s="22">
        <v>20</v>
      </c>
      <c r="S68" s="22">
        <v>20</v>
      </c>
      <c r="T68" s="22">
        <v>20</v>
      </c>
      <c r="U68" s="22">
        <v>20</v>
      </c>
      <c r="V68" s="22">
        <v>20</v>
      </c>
      <c r="W68" s="22">
        <v>20</v>
      </c>
      <c r="X68" s="22">
        <v>20</v>
      </c>
      <c r="Y68" s="22">
        <v>20</v>
      </c>
      <c r="Z68" s="22">
        <v>20</v>
      </c>
      <c r="AA68" s="22">
        <v>20</v>
      </c>
      <c r="AB68" s="22">
        <v>20</v>
      </c>
      <c r="AC68" s="22">
        <v>20</v>
      </c>
      <c r="AD68" s="22">
        <v>20</v>
      </c>
      <c r="AE68" s="22">
        <v>20</v>
      </c>
    </row>
    <row r="69" spans="2:32" x14ac:dyDescent="0.25">
      <c r="B69" t="s">
        <v>278</v>
      </c>
      <c r="C69" s="157" t="s">
        <v>313</v>
      </c>
      <c r="D69" s="329" t="s">
        <v>19</v>
      </c>
      <c r="E69" s="366">
        <v>0.05</v>
      </c>
      <c r="F69" s="333">
        <v>0.05</v>
      </c>
      <c r="G69" s="333">
        <v>0.05</v>
      </c>
      <c r="H69" s="334">
        <v>0.05</v>
      </c>
      <c r="I69" s="333">
        <v>0.05</v>
      </c>
      <c r="J69" s="333">
        <v>0.05</v>
      </c>
      <c r="K69" s="380">
        <v>0.05</v>
      </c>
      <c r="L69" s="333">
        <v>0.05</v>
      </c>
      <c r="M69" s="333">
        <v>0.05</v>
      </c>
      <c r="N69" s="333">
        <v>0.05</v>
      </c>
      <c r="O69" s="333">
        <v>0.05</v>
      </c>
      <c r="P69" s="333">
        <v>0.05</v>
      </c>
      <c r="Q69" s="333">
        <v>0.05</v>
      </c>
      <c r="R69" s="333">
        <v>0.05</v>
      </c>
      <c r="S69" s="333">
        <v>0.05</v>
      </c>
      <c r="T69" s="333">
        <v>0.05</v>
      </c>
      <c r="U69" s="333">
        <v>0.05</v>
      </c>
      <c r="V69" s="333">
        <v>0.05</v>
      </c>
      <c r="W69" s="333">
        <v>0.05</v>
      </c>
      <c r="X69" s="333">
        <v>0.05</v>
      </c>
      <c r="Y69" s="333">
        <v>0.05</v>
      </c>
      <c r="Z69" s="333">
        <v>0.05</v>
      </c>
      <c r="AA69" s="333">
        <v>0.05</v>
      </c>
      <c r="AB69" s="333">
        <v>0.05</v>
      </c>
      <c r="AC69" s="333">
        <v>0.05</v>
      </c>
      <c r="AD69" s="333">
        <v>0.05</v>
      </c>
      <c r="AE69" s="333">
        <v>0.05</v>
      </c>
    </row>
    <row r="70" spans="2:32" x14ac:dyDescent="0.25">
      <c r="B70" t="s">
        <v>278</v>
      </c>
      <c r="C70" s="157"/>
      <c r="D70" s="329"/>
      <c r="E70" s="365"/>
      <c r="F70" s="14"/>
      <c r="G70" s="14"/>
      <c r="H70" s="332"/>
      <c r="I70" s="14"/>
      <c r="K70" s="52"/>
    </row>
    <row r="71" spans="2:32" ht="18.75" x14ac:dyDescent="0.3">
      <c r="B71" t="s">
        <v>296</v>
      </c>
      <c r="C71" s="328" t="s">
        <v>296</v>
      </c>
      <c r="D71" s="335"/>
      <c r="E71" s="362"/>
      <c r="F71" s="326"/>
      <c r="G71" s="326"/>
      <c r="H71" s="327"/>
      <c r="I71" s="326"/>
      <c r="J71" s="326"/>
      <c r="K71" s="379"/>
      <c r="L71" s="326"/>
      <c r="M71" s="326"/>
      <c r="N71" s="326"/>
      <c r="O71" s="326"/>
      <c r="P71" s="326"/>
      <c r="Q71" s="326"/>
      <c r="R71" s="326"/>
      <c r="S71" s="326"/>
      <c r="T71" s="326"/>
      <c r="U71" s="326"/>
      <c r="V71" s="326"/>
      <c r="W71" s="326"/>
      <c r="X71" s="326"/>
      <c r="Y71" s="326"/>
      <c r="Z71" s="326"/>
      <c r="AA71" s="326"/>
      <c r="AB71" s="326"/>
      <c r="AC71" s="326"/>
      <c r="AD71" s="326"/>
      <c r="AE71" s="326"/>
      <c r="AF71" s="326"/>
    </row>
    <row r="72" spans="2:32" x14ac:dyDescent="0.25">
      <c r="B72" t="s">
        <v>296</v>
      </c>
      <c r="C72" s="157" t="s">
        <v>304</v>
      </c>
      <c r="D72" s="329" t="s">
        <v>269</v>
      </c>
      <c r="E72" s="365"/>
      <c r="F72" s="14"/>
      <c r="G72" s="14"/>
      <c r="H72" s="332"/>
      <c r="I72" s="14"/>
      <c r="J72">
        <v>12</v>
      </c>
      <c r="K72" s="52">
        <v>25</v>
      </c>
      <c r="L72">
        <v>50</v>
      </c>
      <c r="M72">
        <v>75</v>
      </c>
      <c r="N72">
        <v>112.5</v>
      </c>
      <c r="O72">
        <v>169</v>
      </c>
      <c r="P72">
        <v>211</v>
      </c>
      <c r="Q72">
        <v>264</v>
      </c>
      <c r="R72">
        <v>330</v>
      </c>
      <c r="S72">
        <v>412</v>
      </c>
      <c r="T72">
        <v>515</v>
      </c>
      <c r="U72">
        <v>644</v>
      </c>
      <c r="V72">
        <v>708</v>
      </c>
      <c r="W72">
        <v>779</v>
      </c>
      <c r="X72">
        <v>857</v>
      </c>
      <c r="Y72">
        <v>942</v>
      </c>
      <c r="Z72">
        <v>1037</v>
      </c>
      <c r="AA72">
        <v>1140</v>
      </c>
      <c r="AB72">
        <v>1254</v>
      </c>
      <c r="AC72">
        <v>1380</v>
      </c>
      <c r="AD72">
        <v>1518</v>
      </c>
      <c r="AE72">
        <v>1670</v>
      </c>
    </row>
    <row r="73" spans="2:32" x14ac:dyDescent="0.25">
      <c r="B73" t="s">
        <v>296</v>
      </c>
      <c r="C73" s="157" t="s">
        <v>267</v>
      </c>
      <c r="D73" s="329" t="s">
        <v>73</v>
      </c>
      <c r="E73" s="403">
        <v>50000</v>
      </c>
      <c r="F73" s="403">
        <v>50000</v>
      </c>
      <c r="G73" s="403">
        <v>50000</v>
      </c>
      <c r="H73" s="403">
        <v>50000</v>
      </c>
      <c r="I73" s="403">
        <v>50000</v>
      </c>
      <c r="J73" s="403">
        <v>50000</v>
      </c>
      <c r="K73" s="403">
        <v>50000</v>
      </c>
      <c r="L73" s="403">
        <v>50000</v>
      </c>
      <c r="M73" s="403">
        <v>50000</v>
      </c>
      <c r="N73" s="403">
        <v>50000</v>
      </c>
      <c r="O73" s="403">
        <v>50000</v>
      </c>
      <c r="P73" s="403">
        <v>50000</v>
      </c>
      <c r="Q73" s="403">
        <v>50000</v>
      </c>
      <c r="R73" s="403">
        <v>50000</v>
      </c>
      <c r="S73" s="403">
        <v>50000</v>
      </c>
      <c r="T73" s="403">
        <v>50000</v>
      </c>
      <c r="U73" s="403">
        <v>50000</v>
      </c>
      <c r="V73" s="403">
        <v>50000</v>
      </c>
      <c r="W73" s="403">
        <v>50000</v>
      </c>
      <c r="X73" s="403">
        <v>50000</v>
      </c>
      <c r="Y73" s="403">
        <v>50000</v>
      </c>
      <c r="Z73" s="403">
        <v>50000</v>
      </c>
      <c r="AA73" s="403">
        <v>50000</v>
      </c>
      <c r="AB73" s="403">
        <v>50000</v>
      </c>
      <c r="AC73" s="403">
        <v>50000</v>
      </c>
      <c r="AD73" s="403">
        <v>50000</v>
      </c>
      <c r="AE73" s="403">
        <v>50000</v>
      </c>
    </row>
    <row r="74" spans="2:32" x14ac:dyDescent="0.25">
      <c r="B74" t="s">
        <v>296</v>
      </c>
      <c r="C74" s="157" t="s">
        <v>321</v>
      </c>
      <c r="D74" s="329" t="s">
        <v>73</v>
      </c>
      <c r="E74" s="371">
        <v>625000</v>
      </c>
      <c r="F74" s="371">
        <v>625000</v>
      </c>
      <c r="G74" s="371">
        <v>625000</v>
      </c>
      <c r="H74" s="371">
        <v>625000</v>
      </c>
      <c r="I74" s="371">
        <v>625000</v>
      </c>
      <c r="J74" s="371">
        <v>625000</v>
      </c>
      <c r="K74" s="371">
        <v>625000</v>
      </c>
      <c r="L74" s="371">
        <v>625000</v>
      </c>
      <c r="M74" s="371">
        <v>625000</v>
      </c>
      <c r="N74" s="371">
        <v>625000</v>
      </c>
      <c r="O74" s="371">
        <v>625000</v>
      </c>
      <c r="P74" s="371">
        <v>625000</v>
      </c>
      <c r="Q74" s="371">
        <v>625000</v>
      </c>
      <c r="R74" s="371">
        <v>625000</v>
      </c>
      <c r="S74" s="371">
        <v>625000</v>
      </c>
      <c r="T74" s="371">
        <v>625000</v>
      </c>
      <c r="U74" s="371">
        <v>625000</v>
      </c>
      <c r="V74" s="371">
        <v>625000</v>
      </c>
      <c r="W74" s="371">
        <v>625000</v>
      </c>
      <c r="X74" s="371">
        <v>625000</v>
      </c>
      <c r="Y74" s="371">
        <v>625000</v>
      </c>
      <c r="Z74" s="371">
        <v>625000</v>
      </c>
      <c r="AA74" s="371">
        <v>625000</v>
      </c>
      <c r="AB74" s="371">
        <v>625000</v>
      </c>
      <c r="AC74" s="371">
        <v>625000</v>
      </c>
      <c r="AD74" s="371">
        <v>625000</v>
      </c>
      <c r="AE74" s="371">
        <v>625000</v>
      </c>
    </row>
    <row r="75" spans="2:32" x14ac:dyDescent="0.25">
      <c r="B75" t="s">
        <v>296</v>
      </c>
      <c r="C75" s="157" t="s">
        <v>285</v>
      </c>
      <c r="D75" s="329" t="s">
        <v>284</v>
      </c>
      <c r="E75" s="363">
        <v>10</v>
      </c>
      <c r="F75" s="363">
        <v>10</v>
      </c>
      <c r="G75" s="363">
        <v>10</v>
      </c>
      <c r="H75" s="363">
        <v>10</v>
      </c>
      <c r="I75" s="363">
        <v>10</v>
      </c>
      <c r="J75" s="363">
        <v>10</v>
      </c>
      <c r="K75" s="363">
        <v>10</v>
      </c>
      <c r="L75" s="363">
        <v>10</v>
      </c>
      <c r="M75" s="363">
        <v>10</v>
      </c>
      <c r="N75" s="363">
        <v>10</v>
      </c>
      <c r="O75" s="363">
        <v>10</v>
      </c>
      <c r="P75" s="363">
        <v>10</v>
      </c>
      <c r="Q75" s="363">
        <v>10</v>
      </c>
      <c r="R75" s="363">
        <v>10</v>
      </c>
      <c r="S75" s="363">
        <v>10</v>
      </c>
      <c r="T75" s="363">
        <v>10</v>
      </c>
      <c r="U75" s="363">
        <v>10</v>
      </c>
      <c r="V75" s="363">
        <v>10</v>
      </c>
      <c r="W75" s="363">
        <v>10</v>
      </c>
      <c r="X75" s="363">
        <v>10</v>
      </c>
      <c r="Y75" s="363">
        <v>10</v>
      </c>
      <c r="Z75" s="363">
        <v>10</v>
      </c>
      <c r="AA75" s="363">
        <v>10</v>
      </c>
      <c r="AB75" s="363">
        <v>10</v>
      </c>
      <c r="AC75" s="363">
        <v>10</v>
      </c>
      <c r="AD75" s="363">
        <v>10</v>
      </c>
      <c r="AE75" s="363">
        <v>10</v>
      </c>
    </row>
    <row r="76" spans="2:32" x14ac:dyDescent="0.25">
      <c r="B76" t="s">
        <v>296</v>
      </c>
      <c r="C76" s="157" t="s">
        <v>271</v>
      </c>
      <c r="D76" s="329" t="s">
        <v>301</v>
      </c>
      <c r="E76" s="363">
        <v>150</v>
      </c>
      <c r="F76" s="22">
        <v>150</v>
      </c>
      <c r="G76" s="22">
        <v>150</v>
      </c>
      <c r="H76" s="330">
        <v>150</v>
      </c>
      <c r="I76" s="22">
        <v>150</v>
      </c>
      <c r="J76" s="22">
        <v>150</v>
      </c>
      <c r="K76" s="23">
        <v>150</v>
      </c>
      <c r="L76" s="22">
        <v>150</v>
      </c>
      <c r="M76" s="22">
        <v>150</v>
      </c>
      <c r="N76" s="22">
        <v>150</v>
      </c>
      <c r="O76" s="22">
        <v>150</v>
      </c>
      <c r="P76" s="363">
        <v>150</v>
      </c>
      <c r="Q76" s="22">
        <v>150</v>
      </c>
      <c r="R76" s="22">
        <v>150</v>
      </c>
      <c r="S76" s="330">
        <v>150</v>
      </c>
      <c r="T76" s="22">
        <v>150</v>
      </c>
      <c r="U76" s="22">
        <v>150</v>
      </c>
      <c r="V76" s="22">
        <v>150</v>
      </c>
      <c r="W76" s="22">
        <v>150</v>
      </c>
      <c r="X76" s="22">
        <v>150</v>
      </c>
      <c r="Y76" s="22">
        <v>150</v>
      </c>
      <c r="Z76" s="22">
        <v>150</v>
      </c>
      <c r="AA76" s="363">
        <v>150</v>
      </c>
      <c r="AB76" s="22">
        <v>150</v>
      </c>
      <c r="AC76" s="22">
        <v>150</v>
      </c>
      <c r="AD76" s="330">
        <v>150</v>
      </c>
      <c r="AE76" s="22">
        <v>150</v>
      </c>
    </row>
    <row r="77" spans="2:32" x14ac:dyDescent="0.25">
      <c r="B77" t="s">
        <v>296</v>
      </c>
      <c r="C77" s="157" t="s">
        <v>275</v>
      </c>
      <c r="D77" s="329" t="s">
        <v>274</v>
      </c>
      <c r="E77" s="363"/>
      <c r="F77" s="22"/>
      <c r="G77" s="22"/>
      <c r="H77" s="332">
        <v>665000</v>
      </c>
      <c r="I77" s="14">
        <f>('TEA values'!$C$24*I76*365*20+500000*(3/4))/2</f>
        <v>357225</v>
      </c>
      <c r="J77" s="14">
        <f>'TEA values'!E$24*150*365*20</f>
        <v>284700</v>
      </c>
      <c r="K77" s="15">
        <f>'TEA values'!G$24*150*365*20</f>
        <v>219000</v>
      </c>
      <c r="L77" s="14">
        <f>'TEA values'!I$24*150*365*20</f>
        <v>175200</v>
      </c>
      <c r="M77" s="14">
        <f>'TEA values'!K$24*150*365*20</f>
        <v>153300.00000000003</v>
      </c>
      <c r="N77" s="14">
        <f>'TEA values'!M$24*150*365*20</f>
        <v>142350</v>
      </c>
      <c r="O77" s="14">
        <f>'TEA values'!O$24*150*365*20</f>
        <v>131400</v>
      </c>
      <c r="P77" s="14">
        <f>'TEA values'!O$24*150*365*20</f>
        <v>131400</v>
      </c>
      <c r="Q77" s="14">
        <f>'TEA values'!Q$24*150*365*20</f>
        <v>98550</v>
      </c>
      <c r="R77" s="14">
        <f>'TEA values'!Q$24*150*365*20</f>
        <v>98550</v>
      </c>
      <c r="S77" s="14">
        <f>'TEA values'!S$24*150*365*20</f>
        <v>98550</v>
      </c>
      <c r="T77" s="14">
        <f>'TEA values'!S$24*150*365*20</f>
        <v>98550</v>
      </c>
      <c r="U77" s="14">
        <f>'TEA values'!U$24*150*365*20</f>
        <v>98550</v>
      </c>
      <c r="V77" s="14">
        <f>'TEA values'!U$24*150*365*20</f>
        <v>98550</v>
      </c>
      <c r="W77" s="14">
        <f>'TEA values'!W$24*150*365*20</f>
        <v>98550</v>
      </c>
      <c r="X77" s="14">
        <f>'TEA values'!W$24*150*365*20</f>
        <v>98550</v>
      </c>
      <c r="Y77" s="14">
        <f>'TEA values'!Y$24*150*365*20</f>
        <v>98550</v>
      </c>
      <c r="Z77" s="14">
        <f>'TEA values'!Y$24*150*365*20</f>
        <v>98550</v>
      </c>
      <c r="AA77" s="14">
        <f>'TEA values'!AA$24*150*365*20</f>
        <v>98550</v>
      </c>
      <c r="AB77" s="14">
        <f>'TEA values'!AA$24*150*365*20</f>
        <v>98550</v>
      </c>
      <c r="AC77" s="14">
        <f>'TEA values'!AC$24*150*365*20</f>
        <v>98550</v>
      </c>
      <c r="AD77" s="14">
        <f>'TEA values'!AC$24*150*365*20</f>
        <v>98550</v>
      </c>
      <c r="AE77" s="14">
        <f>'TEA values'!AE$24*150*365*20</f>
        <v>98550</v>
      </c>
    </row>
    <row r="78" spans="2:32" x14ac:dyDescent="0.25">
      <c r="B78" t="s">
        <v>296</v>
      </c>
      <c r="C78" s="157" t="s">
        <v>292</v>
      </c>
      <c r="D78" s="329" t="s">
        <v>284</v>
      </c>
      <c r="E78" s="363">
        <v>20</v>
      </c>
      <c r="F78" s="22">
        <v>20</v>
      </c>
      <c r="G78" s="22">
        <v>20</v>
      </c>
      <c r="H78" s="330">
        <v>20</v>
      </c>
      <c r="I78" s="22">
        <v>20</v>
      </c>
      <c r="J78" s="22">
        <v>20</v>
      </c>
      <c r="K78" s="23">
        <v>20</v>
      </c>
      <c r="L78" s="22">
        <v>20</v>
      </c>
      <c r="M78" s="22">
        <v>20</v>
      </c>
      <c r="N78" s="22">
        <v>20</v>
      </c>
      <c r="O78" s="22">
        <v>20</v>
      </c>
      <c r="P78" s="22">
        <v>20</v>
      </c>
      <c r="Q78" s="22">
        <v>20</v>
      </c>
      <c r="R78" s="22">
        <v>20</v>
      </c>
      <c r="S78" s="22">
        <v>20</v>
      </c>
      <c r="T78" s="22">
        <v>20</v>
      </c>
      <c r="U78" s="22">
        <v>20</v>
      </c>
      <c r="V78" s="22">
        <v>20</v>
      </c>
      <c r="W78" s="22">
        <v>20</v>
      </c>
      <c r="X78" s="22">
        <v>20</v>
      </c>
      <c r="Y78" s="22">
        <v>20</v>
      </c>
      <c r="Z78" s="22">
        <v>20</v>
      </c>
      <c r="AA78" s="22">
        <v>20</v>
      </c>
      <c r="AB78" s="22">
        <v>20</v>
      </c>
      <c r="AC78" s="22">
        <v>20</v>
      </c>
      <c r="AD78" s="22">
        <v>20</v>
      </c>
      <c r="AE78" s="22">
        <v>20</v>
      </c>
    </row>
    <row r="79" spans="2:32" x14ac:dyDescent="0.25">
      <c r="B79" t="s">
        <v>296</v>
      </c>
      <c r="C79" s="157" t="s">
        <v>313</v>
      </c>
      <c r="D79" s="329" t="s">
        <v>19</v>
      </c>
      <c r="E79" s="366">
        <v>0.05</v>
      </c>
      <c r="F79" s="333">
        <v>0.05</v>
      </c>
      <c r="G79" s="333">
        <v>0.05</v>
      </c>
      <c r="H79" s="334">
        <v>0.05</v>
      </c>
      <c r="I79" s="333">
        <v>0.05</v>
      </c>
      <c r="J79" s="333">
        <v>0.05</v>
      </c>
      <c r="K79" s="380">
        <v>0.05</v>
      </c>
      <c r="L79" s="333">
        <v>0.05</v>
      </c>
      <c r="M79" s="333">
        <v>0.05</v>
      </c>
      <c r="N79" s="333">
        <v>0.05</v>
      </c>
      <c r="O79" s="333">
        <v>0.05</v>
      </c>
      <c r="P79" s="333">
        <v>0.05</v>
      </c>
      <c r="Q79" s="333">
        <v>0.05</v>
      </c>
      <c r="R79" s="333">
        <v>0.05</v>
      </c>
      <c r="S79" s="333">
        <v>0.05</v>
      </c>
      <c r="T79" s="333">
        <v>0.05</v>
      </c>
      <c r="U79" s="333">
        <v>0.05</v>
      </c>
      <c r="V79" s="333">
        <v>0.05</v>
      </c>
      <c r="W79" s="333">
        <v>0.05</v>
      </c>
      <c r="X79" s="333">
        <v>0.05</v>
      </c>
      <c r="Y79" s="333">
        <v>0.05</v>
      </c>
      <c r="Z79" s="333">
        <v>0.05</v>
      </c>
      <c r="AA79" s="333">
        <v>0.05</v>
      </c>
      <c r="AB79" s="333">
        <v>0.05</v>
      </c>
      <c r="AC79" s="333">
        <v>0.05</v>
      </c>
      <c r="AD79" s="333">
        <v>0.05</v>
      </c>
      <c r="AE79" s="333">
        <v>0.05</v>
      </c>
    </row>
    <row r="80" spans="2:32" x14ac:dyDescent="0.25">
      <c r="C80" s="157"/>
      <c r="D80" s="329"/>
      <c r="E80" s="366"/>
      <c r="F80" s="333"/>
      <c r="G80" s="333"/>
      <c r="H80" s="334"/>
      <c r="I80" s="333"/>
      <c r="J80" s="333"/>
      <c r="K80" s="380"/>
      <c r="L80" s="333"/>
      <c r="M80" s="333"/>
      <c r="N80" s="333"/>
      <c r="O80" s="333"/>
    </row>
    <row r="81" spans="2:32" x14ac:dyDescent="0.25">
      <c r="B81" t="s">
        <v>263</v>
      </c>
      <c r="C81" s="157" t="s">
        <v>333</v>
      </c>
      <c r="D81" s="329" t="s">
        <v>269</v>
      </c>
      <c r="E81" s="368">
        <f ca="1">SUM(OFFSET(E20,0,-MIN(E25,COLUMN(E20)-COLUMN($E20)),1,MIN(E25,COLUMN(E20)-COLUMN($E20)+1)))</f>
        <v>0</v>
      </c>
      <c r="F81" s="28">
        <f t="shared" ref="F81:AE81" ca="1" si="6">SUM(OFFSET(F20,0,-MIN(F25,COLUMN(F20)-COLUMN($E20)),1,MIN(F25,COLUMN(F20)-COLUMN($E20)+1)))</f>
        <v>0</v>
      </c>
      <c r="G81" s="28">
        <f t="shared" ca="1" si="6"/>
        <v>0</v>
      </c>
      <c r="H81" s="337">
        <f t="shared" ca="1" si="6"/>
        <v>3</v>
      </c>
      <c r="I81" s="28">
        <f>L9</f>
        <v>0</v>
      </c>
      <c r="J81" s="28">
        <f t="shared" ca="1" si="6"/>
        <v>10</v>
      </c>
      <c r="K81" s="53">
        <f t="shared" ca="1" si="6"/>
        <v>10</v>
      </c>
      <c r="L81" s="28">
        <f t="shared" ca="1" si="6"/>
        <v>10</v>
      </c>
      <c r="M81" s="28">
        <f t="shared" ca="1" si="6"/>
        <v>10</v>
      </c>
      <c r="N81" s="28">
        <f t="shared" ca="1" si="6"/>
        <v>10</v>
      </c>
      <c r="O81" s="28">
        <f t="shared" ca="1" si="6"/>
        <v>10</v>
      </c>
      <c r="P81" s="28">
        <f t="shared" ca="1" si="6"/>
        <v>10</v>
      </c>
      <c r="Q81" s="28">
        <f t="shared" ca="1" si="6"/>
        <v>10</v>
      </c>
      <c r="R81" s="28">
        <f t="shared" ca="1" si="6"/>
        <v>10</v>
      </c>
      <c r="S81" s="28">
        <f t="shared" ca="1" si="6"/>
        <v>10</v>
      </c>
      <c r="T81" s="28">
        <f t="shared" ca="1" si="6"/>
        <v>10</v>
      </c>
      <c r="U81" s="28">
        <f t="shared" ca="1" si="6"/>
        <v>10</v>
      </c>
      <c r="V81" s="28">
        <f t="shared" ca="1" si="6"/>
        <v>10</v>
      </c>
      <c r="W81" s="28">
        <f t="shared" ca="1" si="6"/>
        <v>10</v>
      </c>
      <c r="X81" s="28">
        <f t="shared" ca="1" si="6"/>
        <v>10</v>
      </c>
      <c r="Y81" s="28">
        <f t="shared" ca="1" si="6"/>
        <v>10</v>
      </c>
      <c r="Z81" s="28">
        <f t="shared" ca="1" si="6"/>
        <v>10</v>
      </c>
      <c r="AA81" s="28">
        <f t="shared" ca="1" si="6"/>
        <v>10</v>
      </c>
      <c r="AB81" s="28">
        <f t="shared" ca="1" si="6"/>
        <v>10</v>
      </c>
      <c r="AC81" s="28">
        <f t="shared" ca="1" si="6"/>
        <v>7</v>
      </c>
      <c r="AD81" s="28">
        <f t="shared" ca="1" si="6"/>
        <v>0</v>
      </c>
      <c r="AE81" s="28">
        <f t="shared" ca="1" si="6"/>
        <v>0</v>
      </c>
    </row>
    <row r="82" spans="2:32" x14ac:dyDescent="0.25">
      <c r="B82" t="s">
        <v>282</v>
      </c>
      <c r="C82" s="157" t="s">
        <v>334</v>
      </c>
      <c r="D82" s="329" t="s">
        <v>269</v>
      </c>
      <c r="E82" s="368">
        <f ca="1">SUM(OFFSET(E36,0,-MIN(E40,COLUMN(E36)-COLUMN($E36)),1,MIN(E40,COLUMN(E36)-COLUMN($E36)+1)))</f>
        <v>0</v>
      </c>
      <c r="F82" s="28">
        <f t="shared" ref="F82:AE82" ca="1" si="7">SUM(OFFSET(F36,0,-MIN(F40,COLUMN(F36)-COLUMN($E36)),1,MIN(F40,COLUMN(F36)-COLUMN($E36)+1)))</f>
        <v>0</v>
      </c>
      <c r="G82" s="28">
        <f t="shared" ca="1" si="7"/>
        <v>0</v>
      </c>
      <c r="H82" s="337">
        <f t="shared" ca="1" si="7"/>
        <v>0</v>
      </c>
      <c r="I82" s="28">
        <f t="shared" ca="1" si="7"/>
        <v>0</v>
      </c>
      <c r="J82" s="28">
        <f t="shared" ca="1" si="7"/>
        <v>0</v>
      </c>
      <c r="K82" s="53">
        <f t="shared" ca="1" si="7"/>
        <v>0</v>
      </c>
      <c r="L82" s="28">
        <f t="shared" ca="1" si="7"/>
        <v>0</v>
      </c>
      <c r="M82" s="28">
        <f t="shared" ca="1" si="7"/>
        <v>0</v>
      </c>
      <c r="N82" s="28">
        <f t="shared" ca="1" si="7"/>
        <v>0</v>
      </c>
      <c r="O82" s="28">
        <f t="shared" ca="1" si="7"/>
        <v>0</v>
      </c>
      <c r="P82" s="28">
        <f t="shared" ca="1" si="7"/>
        <v>0</v>
      </c>
      <c r="Q82" s="28">
        <f t="shared" ca="1" si="7"/>
        <v>0</v>
      </c>
      <c r="R82" s="28">
        <f t="shared" ca="1" si="7"/>
        <v>0</v>
      </c>
      <c r="S82" s="28">
        <f t="shared" ca="1" si="7"/>
        <v>0</v>
      </c>
      <c r="T82" s="28">
        <f t="shared" ca="1" si="7"/>
        <v>0</v>
      </c>
      <c r="U82" s="28">
        <f t="shared" ca="1" si="7"/>
        <v>0</v>
      </c>
      <c r="V82" s="28">
        <f t="shared" ca="1" si="7"/>
        <v>0</v>
      </c>
      <c r="W82" s="28">
        <f t="shared" ca="1" si="7"/>
        <v>0</v>
      </c>
      <c r="X82" s="28">
        <f t="shared" ca="1" si="7"/>
        <v>0</v>
      </c>
      <c r="Y82" s="28">
        <f t="shared" ca="1" si="7"/>
        <v>0</v>
      </c>
      <c r="Z82" s="28">
        <f t="shared" ca="1" si="7"/>
        <v>0</v>
      </c>
      <c r="AA82" s="28">
        <f t="shared" ca="1" si="7"/>
        <v>0</v>
      </c>
      <c r="AB82" s="28">
        <f t="shared" ca="1" si="7"/>
        <v>0</v>
      </c>
      <c r="AC82" s="28">
        <f t="shared" ca="1" si="7"/>
        <v>0</v>
      </c>
      <c r="AD82" s="28">
        <f t="shared" ca="1" si="7"/>
        <v>0</v>
      </c>
      <c r="AE82" s="28">
        <f t="shared" ca="1" si="7"/>
        <v>0</v>
      </c>
    </row>
    <row r="83" spans="2:32" x14ac:dyDescent="0.25">
      <c r="B83" t="s">
        <v>283</v>
      </c>
      <c r="C83" s="157" t="s">
        <v>335</v>
      </c>
      <c r="D83" s="329" t="s">
        <v>269</v>
      </c>
      <c r="E83" s="368">
        <f ca="1">SUM(OFFSET(E44,0,-MIN(E46,COLUMN(E44)-COLUMN($E44)),1,MIN(E46,COLUMN(E44)-COLUMN($E44)+1)))</f>
        <v>0</v>
      </c>
      <c r="F83" s="28">
        <f t="shared" ref="F83:AE83" ca="1" si="8">SUM(OFFSET(F44,0,-MIN(F46,COLUMN(F44)-COLUMN($E44)),1,MIN(F46,COLUMN(F44)-COLUMN($E44)+1)))</f>
        <v>0</v>
      </c>
      <c r="G83" s="28">
        <f t="shared" ca="1" si="8"/>
        <v>0</v>
      </c>
      <c r="H83" s="337">
        <f t="shared" ca="1" si="8"/>
        <v>0</v>
      </c>
      <c r="I83" s="28">
        <f t="shared" ca="1" si="8"/>
        <v>0</v>
      </c>
      <c r="J83" s="28">
        <f ca="1">SUM(OFFSET(J44,0,-MIN(J46,COLUMN(J44)-COLUMN($E44)),1,MIN(J46,COLUMN(J44)-COLUMN($E44)+1)))</f>
        <v>12</v>
      </c>
      <c r="K83" s="53">
        <f t="shared" ca="1" si="8"/>
        <v>37</v>
      </c>
      <c r="L83" s="28">
        <f t="shared" ca="1" si="8"/>
        <v>87</v>
      </c>
      <c r="M83" s="28">
        <f t="shared" ca="1" si="8"/>
        <v>162</v>
      </c>
      <c r="N83" s="28">
        <f t="shared" ca="1" si="8"/>
        <v>274.5</v>
      </c>
      <c r="O83" s="28">
        <f t="shared" ca="1" si="8"/>
        <v>443.5</v>
      </c>
      <c r="P83" s="28">
        <f t="shared" ca="1" si="8"/>
        <v>654.5</v>
      </c>
      <c r="Q83" s="28">
        <f t="shared" ca="1" si="8"/>
        <v>918.5</v>
      </c>
      <c r="R83" s="28">
        <f t="shared" ca="1" si="8"/>
        <v>1248.5</v>
      </c>
      <c r="S83" s="28">
        <f t="shared" ca="1" si="8"/>
        <v>1660.5</v>
      </c>
      <c r="T83" s="28">
        <f t="shared" ca="1" si="8"/>
        <v>2175.5</v>
      </c>
      <c r="U83" s="28">
        <f t="shared" ca="1" si="8"/>
        <v>2819.5</v>
      </c>
      <c r="V83" s="28">
        <f t="shared" ca="1" si="8"/>
        <v>3527.5</v>
      </c>
      <c r="W83" s="28">
        <f t="shared" ca="1" si="8"/>
        <v>4306.5</v>
      </c>
      <c r="X83" s="28">
        <f t="shared" ca="1" si="8"/>
        <v>5163.5</v>
      </c>
      <c r="Y83" s="28">
        <f ca="1">SUM(OFFSET(Y44,0,-MIN(Y46,COLUMN(Y44)-COLUMN($E44)),1,MIN(Y46,COLUMN(Y44)-COLUMN($E44)+1)))</f>
        <v>5163.5</v>
      </c>
      <c r="Z83" s="28">
        <f t="shared" ca="1" si="8"/>
        <v>6105.5</v>
      </c>
      <c r="AA83" s="28">
        <f t="shared" ca="1" si="8"/>
        <v>7142.5</v>
      </c>
      <c r="AB83" s="28">
        <f t="shared" ca="1" si="8"/>
        <v>8282.5</v>
      </c>
      <c r="AC83" s="28">
        <f t="shared" ca="1" si="8"/>
        <v>9536.5</v>
      </c>
      <c r="AD83" s="28">
        <f t="shared" ca="1" si="8"/>
        <v>10916.5</v>
      </c>
      <c r="AE83" s="28">
        <f t="shared" ca="1" si="8"/>
        <v>12422.5</v>
      </c>
    </row>
    <row r="84" spans="2:32" x14ac:dyDescent="0.25">
      <c r="B84" t="s">
        <v>265</v>
      </c>
      <c r="C84" s="157" t="s">
        <v>336</v>
      </c>
      <c r="D84" s="329" t="s">
        <v>269</v>
      </c>
      <c r="E84" s="368">
        <f ca="1">SUM(OFFSET(E53,0,-MIN(E59,COLUMN(E53)-COLUMN($E53)),1,MIN(E59,COLUMN(E53)-COLUMN($E53)+1)))</f>
        <v>0</v>
      </c>
      <c r="F84" s="28">
        <f t="shared" ref="F84:AE84" ca="1" si="9">SUM(OFFSET(F53,0,-MIN(F59,COLUMN(F53)-COLUMN($E53)),1,MIN(F59,COLUMN(F53)-COLUMN($E53)+1)))</f>
        <v>0</v>
      </c>
      <c r="G84" s="28">
        <f t="shared" ca="1" si="9"/>
        <v>0</v>
      </c>
      <c r="H84" s="337">
        <f t="shared" ca="1" si="9"/>
        <v>0</v>
      </c>
      <c r="I84" s="28">
        <f t="shared" ca="1" si="9"/>
        <v>0</v>
      </c>
      <c r="J84" s="28">
        <f t="shared" ca="1" si="9"/>
        <v>0</v>
      </c>
      <c r="K84" s="53">
        <f t="shared" ca="1" si="9"/>
        <v>0</v>
      </c>
      <c r="L84" s="28">
        <f t="shared" ca="1" si="9"/>
        <v>0</v>
      </c>
      <c r="M84" s="28">
        <f t="shared" ca="1" si="9"/>
        <v>0</v>
      </c>
      <c r="N84" s="28">
        <f t="shared" ca="1" si="9"/>
        <v>0</v>
      </c>
      <c r="O84" s="28">
        <f t="shared" ca="1" si="9"/>
        <v>0</v>
      </c>
      <c r="P84" s="28">
        <f t="shared" ca="1" si="9"/>
        <v>0</v>
      </c>
      <c r="Q84" s="28">
        <f t="shared" ca="1" si="9"/>
        <v>0</v>
      </c>
      <c r="R84" s="28">
        <f t="shared" ca="1" si="9"/>
        <v>0</v>
      </c>
      <c r="S84" s="28">
        <f t="shared" ca="1" si="9"/>
        <v>0</v>
      </c>
      <c r="T84" s="28">
        <f t="shared" ca="1" si="9"/>
        <v>0</v>
      </c>
      <c r="U84" s="28">
        <f t="shared" ca="1" si="9"/>
        <v>0</v>
      </c>
      <c r="V84" s="28">
        <f t="shared" ca="1" si="9"/>
        <v>0</v>
      </c>
      <c r="W84" s="28">
        <f t="shared" ca="1" si="9"/>
        <v>0</v>
      </c>
      <c r="X84" s="28">
        <f t="shared" ca="1" si="9"/>
        <v>0</v>
      </c>
      <c r="Y84" s="28">
        <f t="shared" ca="1" si="9"/>
        <v>0</v>
      </c>
      <c r="Z84" s="28">
        <f t="shared" ca="1" si="9"/>
        <v>0</v>
      </c>
      <c r="AA84" s="28">
        <f t="shared" ca="1" si="9"/>
        <v>0</v>
      </c>
      <c r="AB84" s="28">
        <f t="shared" ca="1" si="9"/>
        <v>0</v>
      </c>
      <c r="AC84" s="28">
        <f t="shared" ca="1" si="9"/>
        <v>0</v>
      </c>
      <c r="AD84" s="28">
        <f t="shared" ca="1" si="9"/>
        <v>0</v>
      </c>
      <c r="AE84" s="28">
        <f t="shared" ca="1" si="9"/>
        <v>0</v>
      </c>
    </row>
    <row r="85" spans="2:32" x14ac:dyDescent="0.25">
      <c r="B85" t="s">
        <v>278</v>
      </c>
      <c r="C85" s="157" t="s">
        <v>337</v>
      </c>
      <c r="D85" s="329" t="s">
        <v>269</v>
      </c>
      <c r="E85" s="368">
        <f ca="1">SUM(OFFSET(E63,0,-MIN(E68,COLUMN(E63)-COLUMN($E63)),1,MIN(E68,COLUMN(E63)-COLUMN($E63)+1)))</f>
        <v>0</v>
      </c>
      <c r="F85" s="28">
        <f t="shared" ref="F85:AE85" ca="1" si="10">SUM(OFFSET(F63,0,-MIN(F68,COLUMN(F63)-COLUMN($E63)),1,MIN(F68,COLUMN(F63)-COLUMN($E63)+1)))</f>
        <v>0</v>
      </c>
      <c r="G85" s="28">
        <f t="shared" ca="1" si="10"/>
        <v>0</v>
      </c>
      <c r="H85" s="337">
        <f t="shared" ca="1" si="10"/>
        <v>0</v>
      </c>
      <c r="I85" s="28">
        <f t="shared" ca="1" si="10"/>
        <v>0</v>
      </c>
      <c r="J85" s="28">
        <f t="shared" ca="1" si="10"/>
        <v>0</v>
      </c>
      <c r="K85" s="53">
        <f t="shared" ca="1" si="10"/>
        <v>0</v>
      </c>
      <c r="L85" s="28">
        <f t="shared" ca="1" si="10"/>
        <v>0</v>
      </c>
      <c r="M85" s="28">
        <f t="shared" ca="1" si="10"/>
        <v>0</v>
      </c>
      <c r="N85" s="28">
        <f t="shared" ca="1" si="10"/>
        <v>0</v>
      </c>
      <c r="O85" s="28">
        <f t="shared" ca="1" si="10"/>
        <v>0</v>
      </c>
      <c r="P85" s="28">
        <f t="shared" ca="1" si="10"/>
        <v>0</v>
      </c>
      <c r="Q85" s="28">
        <f t="shared" ca="1" si="10"/>
        <v>0</v>
      </c>
      <c r="R85" s="28">
        <f t="shared" ca="1" si="10"/>
        <v>0</v>
      </c>
      <c r="S85" s="28">
        <f t="shared" ca="1" si="10"/>
        <v>0</v>
      </c>
      <c r="T85" s="28">
        <f t="shared" ca="1" si="10"/>
        <v>0</v>
      </c>
      <c r="U85" s="28">
        <f t="shared" ca="1" si="10"/>
        <v>0</v>
      </c>
      <c r="V85" s="28">
        <f t="shared" ca="1" si="10"/>
        <v>0</v>
      </c>
      <c r="W85" s="28">
        <f t="shared" ca="1" si="10"/>
        <v>0</v>
      </c>
      <c r="X85" s="28">
        <f t="shared" ca="1" si="10"/>
        <v>0</v>
      </c>
      <c r="Y85" s="28">
        <f t="shared" ca="1" si="10"/>
        <v>0</v>
      </c>
      <c r="Z85" s="28">
        <f t="shared" ca="1" si="10"/>
        <v>0</v>
      </c>
      <c r="AA85" s="28">
        <f t="shared" ca="1" si="10"/>
        <v>0</v>
      </c>
      <c r="AB85" s="28">
        <f t="shared" ca="1" si="10"/>
        <v>0</v>
      </c>
      <c r="AC85" s="28">
        <f t="shared" ca="1" si="10"/>
        <v>0</v>
      </c>
      <c r="AD85" s="28">
        <f t="shared" ca="1" si="10"/>
        <v>0</v>
      </c>
      <c r="AE85" s="28">
        <f t="shared" ca="1" si="10"/>
        <v>0</v>
      </c>
    </row>
    <row r="86" spans="2:32" x14ac:dyDescent="0.25">
      <c r="B86" t="s">
        <v>296</v>
      </c>
      <c r="C86" s="157" t="s">
        <v>338</v>
      </c>
      <c r="D86" s="329" t="s">
        <v>269</v>
      </c>
      <c r="E86" s="368">
        <f ca="1">SUM(OFFSET(E72,0,-MIN(E75,COLUMN(E72)-COLUMN($E72)),1,MIN(E75,COLUMN(E72)-COLUMN($E72)+1)))</f>
        <v>0</v>
      </c>
      <c r="F86" s="28">
        <f t="shared" ref="F86:AE86" ca="1" si="11">SUM(OFFSET(F72,0,-MIN(F75,COLUMN(F72)-COLUMN($E72)),1,MIN(F75,COLUMN(F72)-COLUMN($E72)+1)))</f>
        <v>0</v>
      </c>
      <c r="G86" s="28">
        <f t="shared" ca="1" si="11"/>
        <v>0</v>
      </c>
      <c r="H86" s="337">
        <f t="shared" ca="1" si="11"/>
        <v>0</v>
      </c>
      <c r="I86" s="28">
        <f t="shared" ca="1" si="11"/>
        <v>0</v>
      </c>
      <c r="J86" s="28">
        <f t="shared" ca="1" si="11"/>
        <v>12</v>
      </c>
      <c r="K86" s="53">
        <f t="shared" ca="1" si="11"/>
        <v>37</v>
      </c>
      <c r="L86" s="28">
        <f t="shared" ca="1" si="11"/>
        <v>87</v>
      </c>
      <c r="M86" s="28">
        <f t="shared" ca="1" si="11"/>
        <v>162</v>
      </c>
      <c r="N86" s="28">
        <f t="shared" ca="1" si="11"/>
        <v>274.5</v>
      </c>
      <c r="O86" s="28">
        <f t="shared" ca="1" si="11"/>
        <v>274.5</v>
      </c>
      <c r="P86" s="28">
        <f t="shared" ca="1" si="11"/>
        <v>443.5</v>
      </c>
      <c r="Q86" s="28">
        <f t="shared" ca="1" si="11"/>
        <v>654.5</v>
      </c>
      <c r="R86" s="28">
        <f t="shared" ca="1" si="11"/>
        <v>918.5</v>
      </c>
      <c r="S86" s="28">
        <f t="shared" ca="1" si="11"/>
        <v>1248.5</v>
      </c>
      <c r="T86" s="28">
        <f t="shared" ca="1" si="11"/>
        <v>1660.5</v>
      </c>
      <c r="U86" s="28">
        <f t="shared" ca="1" si="11"/>
        <v>2163.5</v>
      </c>
      <c r="V86" s="28">
        <f t="shared" ca="1" si="11"/>
        <v>2782.5</v>
      </c>
      <c r="W86" s="28">
        <f t="shared" ca="1" si="11"/>
        <v>3440.5</v>
      </c>
      <c r="X86" s="28">
        <f t="shared" ca="1" si="11"/>
        <v>4144.5</v>
      </c>
      <c r="Y86" s="28">
        <f t="shared" ca="1" si="11"/>
        <v>4889</v>
      </c>
      <c r="Z86" s="28">
        <f t="shared" ca="1" si="11"/>
        <v>5662</v>
      </c>
      <c r="AA86" s="28">
        <f t="shared" ca="1" si="11"/>
        <v>6488</v>
      </c>
      <c r="AB86" s="28">
        <f t="shared" ca="1" si="11"/>
        <v>7364</v>
      </c>
      <c r="AC86" s="28">
        <f t="shared" ca="1" si="11"/>
        <v>8288</v>
      </c>
      <c r="AD86" s="28">
        <f t="shared" ca="1" si="11"/>
        <v>9256</v>
      </c>
      <c r="AE86" s="28">
        <f t="shared" ca="1" si="11"/>
        <v>10259</v>
      </c>
    </row>
    <row r="87" spans="2:32" x14ac:dyDescent="0.25">
      <c r="D87" s="338"/>
      <c r="E87" s="369"/>
      <c r="H87" s="339"/>
      <c r="K87" s="52"/>
    </row>
    <row r="88" spans="2:32" x14ac:dyDescent="0.25">
      <c r="C88" s="340" t="s">
        <v>159</v>
      </c>
      <c r="D88" s="338"/>
      <c r="E88" s="369"/>
      <c r="H88" s="339"/>
      <c r="K88" s="52"/>
    </row>
    <row r="89" spans="2:32" ht="18.75" x14ac:dyDescent="0.3">
      <c r="B89" t="s">
        <v>263</v>
      </c>
      <c r="C89" s="328" t="s">
        <v>263</v>
      </c>
      <c r="D89" s="335"/>
      <c r="E89" s="362"/>
      <c r="F89" s="326"/>
      <c r="G89" s="326"/>
      <c r="H89" s="327"/>
      <c r="I89" s="326"/>
      <c r="J89" s="326"/>
      <c r="K89" s="379"/>
      <c r="L89" s="326"/>
      <c r="M89" s="326"/>
      <c r="N89" s="326"/>
      <c r="O89" s="326"/>
      <c r="P89" s="326"/>
      <c r="Q89" s="326"/>
      <c r="R89" s="326"/>
      <c r="S89" s="326"/>
      <c r="T89" s="326"/>
      <c r="U89" s="326"/>
      <c r="V89" s="326"/>
      <c r="W89" s="326"/>
      <c r="X89" s="326"/>
      <c r="Y89" s="326"/>
      <c r="Z89" s="326"/>
      <c r="AA89" s="326"/>
      <c r="AB89" s="326"/>
      <c r="AC89" s="326"/>
      <c r="AD89" s="326"/>
      <c r="AE89" s="326"/>
      <c r="AF89" s="326"/>
    </row>
    <row r="90" spans="2:32" x14ac:dyDescent="0.25">
      <c r="B90" t="s">
        <v>263</v>
      </c>
      <c r="C90" s="155" t="s">
        <v>286</v>
      </c>
      <c r="D90" s="329" t="s">
        <v>73</v>
      </c>
      <c r="E90" s="367">
        <f ca="1">E81*Cockpit!E21*Cockpit!E22*Cockpit!E23</f>
        <v>0</v>
      </c>
      <c r="F90" s="20">
        <f ca="1">F81*Cockpit!F21*Cockpit!F22*Cockpit!F23</f>
        <v>0</v>
      </c>
      <c r="G90" s="20">
        <f ca="1">G81*Cockpit!G21*Cockpit!G22*Cockpit!G23</f>
        <v>0</v>
      </c>
      <c r="H90" s="336">
        <f ca="1">H81*Cockpit!H21*Cockpit!H22*Cockpit!H23</f>
        <v>41391.000000000007</v>
      </c>
      <c r="I90" s="20">
        <f>I81*Cockpit!I21*Cockpit!I22*Cockpit!I23</f>
        <v>0</v>
      </c>
      <c r="J90" s="20">
        <f ca="1">J81*Cockpit!J21*Cockpit!J22*Cockpit!J23</f>
        <v>137970.00000000003</v>
      </c>
      <c r="K90" s="21">
        <f ca="1">K81*Cockpit!K21*Cockpit!K22*Cockpit!K23</f>
        <v>137970.00000000003</v>
      </c>
      <c r="L90" s="20">
        <f ca="1">L81*Cockpit!L21*Cockpit!L22*Cockpit!L23</f>
        <v>137970.00000000003</v>
      </c>
      <c r="M90" s="20">
        <f ca="1">M81*Cockpit!M21*Cockpit!M22*Cockpit!M23</f>
        <v>137970.00000000003</v>
      </c>
      <c r="N90" s="20">
        <f ca="1">N81*Cockpit!N21*Cockpit!N22*Cockpit!N23</f>
        <v>137970.00000000003</v>
      </c>
      <c r="O90" s="20">
        <f ca="1">O81*Cockpit!O21*Cockpit!O22*Cockpit!O23</f>
        <v>137970.00000000003</v>
      </c>
      <c r="P90" s="20">
        <f ca="1">P81*Cockpit!P21*Cockpit!P22*Cockpit!P23</f>
        <v>137970.00000000003</v>
      </c>
      <c r="Q90" s="20">
        <f ca="1">Q81*Cockpit!Q21*Cockpit!Q22*Cockpit!Q23</f>
        <v>137970.00000000003</v>
      </c>
      <c r="R90" s="20">
        <f ca="1">R81*Cockpit!R21*Cockpit!R22*Cockpit!R23</f>
        <v>137970.00000000003</v>
      </c>
      <c r="S90" s="20">
        <f ca="1">S81*Cockpit!S21*Cockpit!S22*Cockpit!S23</f>
        <v>137970.00000000003</v>
      </c>
      <c r="T90" s="20">
        <f ca="1">T81*Cockpit!T21*Cockpit!T22*Cockpit!T23</f>
        <v>137970.00000000003</v>
      </c>
      <c r="U90" s="20">
        <f ca="1">U81*Cockpit!U21*Cockpit!U22*Cockpit!U23</f>
        <v>137970.00000000003</v>
      </c>
      <c r="V90" s="20">
        <f ca="1">V81*Cockpit!V21*Cockpit!V22*Cockpit!V23</f>
        <v>137970.00000000003</v>
      </c>
      <c r="W90" s="20">
        <f ca="1">W81*Cockpit!W21*Cockpit!W22*Cockpit!W23</f>
        <v>137970.00000000003</v>
      </c>
      <c r="X90" s="20">
        <f ca="1">X81*Cockpit!X21*Cockpit!X22*Cockpit!X23</f>
        <v>137970.00000000003</v>
      </c>
      <c r="Y90" s="20">
        <f ca="1">Y81*Cockpit!Y21*Cockpit!Y22*Cockpit!Y23</f>
        <v>137970.00000000003</v>
      </c>
      <c r="Z90" s="20">
        <f ca="1">Z81*Cockpit!Z21*Cockpit!Z22*Cockpit!Z23</f>
        <v>137970.00000000003</v>
      </c>
      <c r="AA90" s="20">
        <f ca="1">AA81*Cockpit!AA21*Cockpit!AA22*Cockpit!AA23</f>
        <v>137970.00000000003</v>
      </c>
      <c r="AB90" s="20">
        <f ca="1">AB81*Cockpit!AB21*Cockpit!AB22*Cockpit!AB23</f>
        <v>137970.00000000003</v>
      </c>
      <c r="AC90" s="20">
        <f ca="1">AC81*Cockpit!AC21*Cockpit!AC22*Cockpit!AC23</f>
        <v>96579</v>
      </c>
      <c r="AD90" s="20">
        <f ca="1">AD81*Cockpit!AD21*Cockpit!AD22*Cockpit!AD23</f>
        <v>0</v>
      </c>
      <c r="AE90" s="20">
        <f ca="1">AE81*Cockpit!AE21*Cockpit!AE22*Cockpit!AE23</f>
        <v>0</v>
      </c>
      <c r="AF90" t="s">
        <v>161</v>
      </c>
    </row>
    <row r="91" spans="2:32" ht="18.75" x14ac:dyDescent="0.3">
      <c r="B91" t="s">
        <v>264</v>
      </c>
      <c r="C91" s="328" t="s">
        <v>264</v>
      </c>
      <c r="D91" s="335"/>
      <c r="E91" s="362"/>
      <c r="F91" s="326"/>
      <c r="G91" s="326"/>
      <c r="H91" s="327"/>
      <c r="I91" s="326"/>
      <c r="J91" s="326"/>
      <c r="K91" s="379"/>
      <c r="L91" s="326"/>
      <c r="M91" s="326"/>
      <c r="N91" s="326"/>
      <c r="O91" s="326"/>
      <c r="P91" s="326"/>
      <c r="Q91" s="326"/>
      <c r="R91" s="326"/>
      <c r="S91" s="326"/>
      <c r="T91" s="326"/>
      <c r="U91" s="326"/>
      <c r="V91" s="326"/>
      <c r="W91" s="326"/>
      <c r="X91" s="326"/>
      <c r="Y91" s="326"/>
      <c r="Z91" s="326"/>
      <c r="AA91" s="326"/>
      <c r="AB91" s="326"/>
      <c r="AC91" s="326"/>
      <c r="AD91" s="326"/>
      <c r="AE91" s="326"/>
      <c r="AF91" s="326"/>
    </row>
    <row r="92" spans="2:32" x14ac:dyDescent="0.25">
      <c r="B92" t="s">
        <v>264</v>
      </c>
      <c r="C92" s="155" t="s">
        <v>287</v>
      </c>
      <c r="D92" s="329" t="s">
        <v>73</v>
      </c>
      <c r="E92" s="367">
        <f>Cockpit!E29*Cockpit!E30</f>
        <v>0</v>
      </c>
      <c r="F92" s="20">
        <f>Cockpit!F29*Cockpit!F30</f>
        <v>0</v>
      </c>
      <c r="G92" s="20">
        <f>Cockpit!G29*Cockpit!G30</f>
        <v>0</v>
      </c>
      <c r="H92" s="336">
        <f>Cockpit!H29*Cockpit!H30</f>
        <v>0</v>
      </c>
      <c r="I92" s="20">
        <f>Cockpit!I29*Cockpit!I30</f>
        <v>0</v>
      </c>
      <c r="J92" s="20">
        <f>Cockpit!J29*Cockpit!J30</f>
        <v>3600000</v>
      </c>
      <c r="K92" s="21">
        <f>Cockpit!K29*Cockpit!K30</f>
        <v>7500000</v>
      </c>
      <c r="L92" s="20">
        <f>Cockpit!L29*Cockpit!L30</f>
        <v>15000000</v>
      </c>
      <c r="M92" s="20">
        <f>Cockpit!M29*Cockpit!M30</f>
        <v>22500000</v>
      </c>
      <c r="N92" s="20">
        <f>Cockpit!N29*Cockpit!N30</f>
        <v>33750000</v>
      </c>
      <c r="O92" s="20">
        <f>Cockpit!O29*Cockpit!O30</f>
        <v>50625000</v>
      </c>
      <c r="P92" s="20">
        <f>Cockpit!P29*Cockpit!P30</f>
        <v>63281250</v>
      </c>
      <c r="Q92" s="20">
        <f>Cockpit!Q29*Cockpit!Q30</f>
        <v>79101562.5</v>
      </c>
      <c r="R92" s="20">
        <f>Cockpit!R29*Cockpit!R30</f>
        <v>98876953.125</v>
      </c>
      <c r="S92" s="20">
        <f>Cockpit!S29*Cockpit!S30</f>
        <v>123596191.40625</v>
      </c>
      <c r="T92" s="20">
        <f>Cockpit!T29*Cockpit!T30</f>
        <v>154495239.2578125</v>
      </c>
      <c r="U92" s="20">
        <f>Cockpit!U29*Cockpit!U30</f>
        <v>193119049.07226563</v>
      </c>
      <c r="V92" s="20">
        <f>Cockpit!V29*Cockpit!V30</f>
        <v>212430953.97949222</v>
      </c>
      <c r="W92" s="20">
        <f>Cockpit!W29*Cockpit!W30</f>
        <v>233674049.37744147</v>
      </c>
      <c r="X92" s="20">
        <f>Cockpit!X29*Cockpit!X30</f>
        <v>257041454.31518564</v>
      </c>
      <c r="Y92" s="20">
        <f>Cockpit!Y29*Cockpit!Y30</f>
        <v>282745599.74670422</v>
      </c>
      <c r="Z92" s="20">
        <f>Cockpit!Z29*Cockpit!Z30</f>
        <v>311020159.72137469</v>
      </c>
      <c r="AA92" s="20">
        <f>Cockpit!AA29*Cockpit!AA30</f>
        <v>342122175.69351226</v>
      </c>
      <c r="AB92" s="20">
        <f>Cockpit!AB29*Cockpit!AB30</f>
        <v>376334393.26286352</v>
      </c>
      <c r="AC92" s="20">
        <f>Cockpit!AC29*Cockpit!AC30</f>
        <v>413967832.58914989</v>
      </c>
      <c r="AD92" s="20">
        <f>Cockpit!AD29*Cockpit!AD30</f>
        <v>455364615.8480649</v>
      </c>
      <c r="AE92" s="20">
        <f>Cockpit!AE29*Cockpit!AE30</f>
        <v>500901077.43287146</v>
      </c>
      <c r="AF92" t="s">
        <v>163</v>
      </c>
    </row>
    <row r="93" spans="2:32" x14ac:dyDescent="0.25">
      <c r="B93" t="s">
        <v>264</v>
      </c>
      <c r="C93" s="155" t="s">
        <v>302</v>
      </c>
      <c r="D93" s="329" t="s">
        <v>73</v>
      </c>
      <c r="E93" s="367">
        <f t="shared" ref="E93:O93" ca="1" si="12">IF(COLUMN() &gt; 9, OFFSET(E29, 0, -5), 0)*E31+IF(COLUMN() &gt; 14, OFFSET(E29, 0, -10), 0)*E31+IF(COLUMN() &gt; 19, OFFSET(E29, 0, -15), 0)*E31+IF(COLUMN() &gt; 24, OFFSET(E29, 0, -20), 0)*E31</f>
        <v>0</v>
      </c>
      <c r="F93" s="20">
        <f t="shared" ca="1" si="12"/>
        <v>0</v>
      </c>
      <c r="G93" s="20">
        <f t="shared" ca="1" si="12"/>
        <v>0</v>
      </c>
      <c r="H93" s="336">
        <f t="shared" ca="1" si="12"/>
        <v>0</v>
      </c>
      <c r="I93" s="20">
        <f t="shared" ca="1" si="12"/>
        <v>0</v>
      </c>
      <c r="J93" s="20">
        <f t="shared" ca="1" si="12"/>
        <v>0</v>
      </c>
      <c r="K93" s="21">
        <f t="shared" ca="1" si="12"/>
        <v>0</v>
      </c>
      <c r="L93" s="20">
        <f t="shared" ca="1" si="12"/>
        <v>0</v>
      </c>
      <c r="M93" s="20">
        <f t="shared" ca="1" si="12"/>
        <v>0</v>
      </c>
      <c r="N93" s="20">
        <f t="shared" ca="1" si="12"/>
        <v>0</v>
      </c>
      <c r="O93" s="20">
        <f t="shared" ca="1" si="12"/>
        <v>60000</v>
      </c>
      <c r="P93" s="20">
        <f ca="1">IF(COLUMN() &gt; 9, OFFSET(P29, 0, -5), 0)*P31+IF(COLUMN() &gt; 14, OFFSET(P29, 0, -10), 0)*P31+IF(COLUMN() &gt; 19, OFFSET(P29, 0, -15), 0)*P31+IF(COLUMN() &gt; 24, OFFSET(P29, 0, -20), 0)*P31</f>
        <v>125000</v>
      </c>
      <c r="Q93" s="20">
        <f ca="1">IF(COLUMN() &gt; 9, OFFSET(Q29, 0, -5), 0)*Q31+IF(COLUMN() &gt; 14, OFFSET(Q29, 0, -10), 0)*Q31+IF(COLUMN() &gt; 19, OFFSET(Q29, 0, -15), 0)*Q31+IF(COLUMN() &gt; 24, OFFSET(Q29, 0, -20), 0)*Q31</f>
        <v>250000</v>
      </c>
      <c r="R93" s="20">
        <f t="shared" ref="R93:AE93" ca="1" si="13">IF(COLUMN() &gt; 9, OFFSET(R29, 0, -5), 0)*R31+IF(COLUMN() &gt; 14, OFFSET(R29, 0, -10), 0)*R31+IF(COLUMN() &gt; 19, OFFSET(R29, 0, -15), 0)*R31+IF(COLUMN() &gt; 24, OFFSET(R29, 0, -20), 0)*R31</f>
        <v>375000</v>
      </c>
      <c r="S93" s="20">
        <f t="shared" ca="1" si="13"/>
        <v>562500</v>
      </c>
      <c r="T93" s="20">
        <f t="shared" ca="1" si="13"/>
        <v>903750</v>
      </c>
      <c r="U93" s="20">
        <f t="shared" ca="1" si="13"/>
        <v>1179687.5</v>
      </c>
      <c r="V93" s="20">
        <f t="shared" ca="1" si="13"/>
        <v>1568359.375</v>
      </c>
      <c r="W93" s="20">
        <f t="shared" ca="1" si="13"/>
        <v>2022949.21875</v>
      </c>
      <c r="X93" s="20">
        <f t="shared" ca="1" si="13"/>
        <v>2622436.5234375</v>
      </c>
      <c r="Y93" s="20">
        <f t="shared" ca="1" si="13"/>
        <v>3478670.654296875</v>
      </c>
      <c r="Z93" s="20">
        <f t="shared" ca="1" si="13"/>
        <v>4398338.3178710938</v>
      </c>
      <c r="AA93" s="20">
        <f t="shared" ca="1" si="13"/>
        <v>5108875.2746582031</v>
      </c>
      <c r="AB93" s="20">
        <f t="shared" ca="1" si="13"/>
        <v>5917516.7083740244</v>
      </c>
      <c r="AC93" s="20">
        <f t="shared" ca="1" si="13"/>
        <v>6906460.7620239276</v>
      </c>
      <c r="AD93" s="20">
        <f t="shared" ca="1" si="13"/>
        <v>8191097.3167419452</v>
      </c>
      <c r="AE93" s="20">
        <f t="shared" ca="1" si="13"/>
        <v>9582007.6465606727</v>
      </c>
      <c r="AF93" t="s">
        <v>165</v>
      </c>
    </row>
    <row r="94" spans="2:32" ht="18.75" x14ac:dyDescent="0.3">
      <c r="B94" t="s">
        <v>282</v>
      </c>
      <c r="C94" s="328" t="s">
        <v>282</v>
      </c>
      <c r="D94" s="335"/>
      <c r="E94" s="362"/>
      <c r="F94" s="326"/>
      <c r="H94" s="327"/>
      <c r="I94" s="326"/>
      <c r="J94" s="326"/>
      <c r="K94" s="379"/>
      <c r="L94" s="326"/>
      <c r="M94" s="326"/>
      <c r="N94" s="326"/>
      <c r="O94" s="326"/>
      <c r="P94" s="326"/>
      <c r="Q94" s="326"/>
      <c r="R94" s="326"/>
      <c r="S94" s="326"/>
      <c r="T94" s="326"/>
      <c r="U94" s="326"/>
      <c r="V94" s="326"/>
      <c r="W94" s="326"/>
      <c r="X94" s="326"/>
      <c r="Y94" s="326"/>
      <c r="Z94" s="326"/>
      <c r="AA94" s="326"/>
      <c r="AB94" s="326"/>
      <c r="AC94" s="326"/>
      <c r="AD94" s="326"/>
      <c r="AE94" s="326"/>
      <c r="AF94" s="326"/>
    </row>
    <row r="95" spans="2:32" x14ac:dyDescent="0.25">
      <c r="B95" t="s">
        <v>282</v>
      </c>
      <c r="C95" s="155" t="s">
        <v>288</v>
      </c>
      <c r="D95" s="329" t="s">
        <v>73</v>
      </c>
      <c r="E95" s="367">
        <f ca="1">E37*E82</f>
        <v>0</v>
      </c>
      <c r="F95" s="20">
        <f t="shared" ref="F95:AE95" ca="1" si="14">F37*F82</f>
        <v>0</v>
      </c>
      <c r="G95" s="20">
        <f t="shared" ca="1" si="14"/>
        <v>0</v>
      </c>
      <c r="H95" s="336">
        <f t="shared" ca="1" si="14"/>
        <v>0</v>
      </c>
      <c r="I95" s="20">
        <f t="shared" ca="1" si="14"/>
        <v>0</v>
      </c>
      <c r="J95" s="20">
        <f t="shared" ca="1" si="14"/>
        <v>0</v>
      </c>
      <c r="K95" s="21">
        <f t="shared" ca="1" si="14"/>
        <v>0</v>
      </c>
      <c r="L95" s="20">
        <f t="shared" ca="1" si="14"/>
        <v>0</v>
      </c>
      <c r="M95" s="20">
        <f t="shared" ca="1" si="14"/>
        <v>0</v>
      </c>
      <c r="N95" s="20">
        <f t="shared" ca="1" si="14"/>
        <v>0</v>
      </c>
      <c r="O95" s="20">
        <f t="shared" ca="1" si="14"/>
        <v>0</v>
      </c>
      <c r="P95" s="20">
        <f t="shared" ca="1" si="14"/>
        <v>0</v>
      </c>
      <c r="Q95" s="20">
        <f t="shared" ca="1" si="14"/>
        <v>0</v>
      </c>
      <c r="R95" s="20">
        <f t="shared" ca="1" si="14"/>
        <v>0</v>
      </c>
      <c r="S95" s="20">
        <f t="shared" ca="1" si="14"/>
        <v>0</v>
      </c>
      <c r="T95" s="20">
        <f t="shared" ca="1" si="14"/>
        <v>0</v>
      </c>
      <c r="U95" s="20">
        <f t="shared" ca="1" si="14"/>
        <v>0</v>
      </c>
      <c r="V95" s="20">
        <f t="shared" ca="1" si="14"/>
        <v>0</v>
      </c>
      <c r="W95" s="20">
        <f t="shared" ca="1" si="14"/>
        <v>0</v>
      </c>
      <c r="X95" s="20">
        <f t="shared" ca="1" si="14"/>
        <v>0</v>
      </c>
      <c r="Y95" s="20">
        <f t="shared" ca="1" si="14"/>
        <v>0</v>
      </c>
      <c r="Z95" s="20">
        <f t="shared" ca="1" si="14"/>
        <v>0</v>
      </c>
      <c r="AA95" s="20">
        <f t="shared" ca="1" si="14"/>
        <v>0</v>
      </c>
      <c r="AB95" s="20">
        <f t="shared" ca="1" si="14"/>
        <v>0</v>
      </c>
      <c r="AC95" s="20">
        <f t="shared" ca="1" si="14"/>
        <v>0</v>
      </c>
      <c r="AD95" s="20">
        <f t="shared" ca="1" si="14"/>
        <v>0</v>
      </c>
      <c r="AE95" s="20">
        <f t="shared" ca="1" si="14"/>
        <v>0</v>
      </c>
    </row>
    <row r="96" spans="2:32" ht="18.75" x14ac:dyDescent="0.3">
      <c r="B96" t="s">
        <v>283</v>
      </c>
      <c r="C96" s="328" t="s">
        <v>283</v>
      </c>
      <c r="D96" s="335"/>
      <c r="E96" s="362"/>
      <c r="F96" s="326"/>
      <c r="G96" s="326"/>
      <c r="H96" s="327"/>
      <c r="I96" s="326"/>
      <c r="J96" s="326"/>
      <c r="K96" s="379"/>
      <c r="L96" s="326"/>
      <c r="M96" s="326"/>
      <c r="N96" s="326"/>
      <c r="O96" s="326"/>
      <c r="P96" s="326"/>
      <c r="Q96" s="326"/>
      <c r="R96" s="326"/>
      <c r="S96" s="326"/>
      <c r="T96" s="326"/>
      <c r="U96" s="326"/>
      <c r="V96" s="326"/>
      <c r="W96" s="326"/>
      <c r="X96" s="326"/>
      <c r="Y96" s="326"/>
      <c r="Z96" s="326"/>
      <c r="AA96" s="326"/>
      <c r="AB96" s="326"/>
      <c r="AC96" s="326"/>
      <c r="AD96" s="326"/>
      <c r="AE96" s="326"/>
      <c r="AF96" s="326"/>
    </row>
    <row r="97" spans="2:37" x14ac:dyDescent="0.25">
      <c r="B97" t="s">
        <v>283</v>
      </c>
      <c r="C97" s="155" t="s">
        <v>289</v>
      </c>
      <c r="D97" s="329" t="s">
        <v>73</v>
      </c>
      <c r="E97" s="367">
        <f ca="1">IFERROR(E45*(E83/E46),0)</f>
        <v>0</v>
      </c>
      <c r="F97" s="367">
        <f t="shared" ref="F97:AE97" ca="1" si="15">IFERROR(F45*(F83/F46),0)</f>
        <v>0</v>
      </c>
      <c r="G97" s="367">
        <f t="shared" ca="1" si="15"/>
        <v>0</v>
      </c>
      <c r="H97" s="367">
        <f t="shared" ca="1" si="15"/>
        <v>0</v>
      </c>
      <c r="I97" s="367">
        <f t="shared" ca="1" si="15"/>
        <v>0</v>
      </c>
      <c r="J97" s="367">
        <f ca="1">IFERROR(J45*(J83/J46),0)</f>
        <v>840000</v>
      </c>
      <c r="K97" s="367">
        <f t="shared" ca="1" si="15"/>
        <v>2590000</v>
      </c>
      <c r="L97" s="367">
        <f t="shared" ca="1" si="15"/>
        <v>6089999.9999999991</v>
      </c>
      <c r="M97" s="367">
        <f t="shared" ca="1" si="15"/>
        <v>11340000</v>
      </c>
      <c r="N97" s="367">
        <f t="shared" ca="1" si="15"/>
        <v>19215000</v>
      </c>
      <c r="O97" s="367">
        <f t="shared" ca="1" si="15"/>
        <v>31045000</v>
      </c>
      <c r="P97" s="367">
        <f t="shared" ca="1" si="15"/>
        <v>45815000</v>
      </c>
      <c r="Q97" s="367">
        <f t="shared" ca="1" si="15"/>
        <v>64294999.999999993</v>
      </c>
      <c r="R97" s="367">
        <f t="shared" ca="1" si="15"/>
        <v>87395000</v>
      </c>
      <c r="S97" s="367">
        <f t="shared" ca="1" si="15"/>
        <v>116235000.00000001</v>
      </c>
      <c r="T97" s="367">
        <f t="shared" ca="1" si="15"/>
        <v>152285000</v>
      </c>
      <c r="U97" s="367">
        <f t="shared" ca="1" si="15"/>
        <v>197365000</v>
      </c>
      <c r="V97" s="367">
        <f t="shared" ca="1" si="15"/>
        <v>246925000</v>
      </c>
      <c r="W97" s="367">
        <f t="shared" ca="1" si="15"/>
        <v>301455000</v>
      </c>
      <c r="X97" s="367">
        <f t="shared" ca="1" si="15"/>
        <v>361445000</v>
      </c>
      <c r="Y97" s="367">
        <f t="shared" ca="1" si="15"/>
        <v>361445000</v>
      </c>
      <c r="Z97" s="367">
        <f t="shared" ca="1" si="15"/>
        <v>427384999.99999994</v>
      </c>
      <c r="AA97" s="367">
        <f t="shared" ca="1" si="15"/>
        <v>499975000</v>
      </c>
      <c r="AB97" s="367">
        <f t="shared" ca="1" si="15"/>
        <v>579775000</v>
      </c>
      <c r="AC97" s="367">
        <f t="shared" ca="1" si="15"/>
        <v>667555000</v>
      </c>
      <c r="AD97" s="367">
        <f t="shared" ca="1" si="15"/>
        <v>764155000.00000012</v>
      </c>
      <c r="AE97" s="367">
        <f t="shared" ca="1" si="15"/>
        <v>869575000</v>
      </c>
    </row>
    <row r="98" spans="2:37" ht="18.75" x14ac:dyDescent="0.3">
      <c r="B98" t="s">
        <v>265</v>
      </c>
      <c r="C98" s="328" t="s">
        <v>265</v>
      </c>
      <c r="D98" s="335"/>
      <c r="E98" s="362"/>
      <c r="F98" s="326"/>
      <c r="G98" s="326"/>
      <c r="H98" s="327"/>
      <c r="I98" s="326"/>
      <c r="J98" s="326"/>
      <c r="K98" s="379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</row>
    <row r="99" spans="2:37" x14ac:dyDescent="0.25">
      <c r="B99" t="s">
        <v>265</v>
      </c>
      <c r="C99" s="155" t="s">
        <v>291</v>
      </c>
      <c r="D99" s="329" t="s">
        <v>73</v>
      </c>
      <c r="E99" s="367">
        <f ca="1">E53*E54+E84*E55*E56*E57</f>
        <v>0</v>
      </c>
      <c r="F99" s="20">
        <f t="shared" ref="F99:AE99" ca="1" si="16">F53*F54+F84*F55*F56*F57</f>
        <v>0</v>
      </c>
      <c r="G99" s="20">
        <f t="shared" ca="1" si="16"/>
        <v>0</v>
      </c>
      <c r="H99" s="336">
        <f t="shared" ca="1" si="16"/>
        <v>0</v>
      </c>
      <c r="I99" s="20">
        <f ca="1">I53*I54+I84*I55*I56*I57</f>
        <v>0</v>
      </c>
      <c r="J99" s="20">
        <f t="shared" ca="1" si="16"/>
        <v>0</v>
      </c>
      <c r="K99" s="21">
        <f t="shared" ca="1" si="16"/>
        <v>0</v>
      </c>
      <c r="L99" s="20">
        <f t="shared" ca="1" si="16"/>
        <v>0</v>
      </c>
      <c r="M99" s="20">
        <f t="shared" ca="1" si="16"/>
        <v>0</v>
      </c>
      <c r="N99" s="20">
        <f t="shared" ca="1" si="16"/>
        <v>0</v>
      </c>
      <c r="O99" s="20">
        <f t="shared" ca="1" si="16"/>
        <v>0</v>
      </c>
      <c r="P99" s="20">
        <f t="shared" ca="1" si="16"/>
        <v>0</v>
      </c>
      <c r="Q99" s="20">
        <f t="shared" ca="1" si="16"/>
        <v>0</v>
      </c>
      <c r="R99" s="20">
        <f t="shared" ca="1" si="16"/>
        <v>0</v>
      </c>
      <c r="S99" s="20">
        <f t="shared" ca="1" si="16"/>
        <v>0</v>
      </c>
      <c r="T99" s="20">
        <f t="shared" ca="1" si="16"/>
        <v>0</v>
      </c>
      <c r="U99" s="20">
        <f t="shared" ca="1" si="16"/>
        <v>0</v>
      </c>
      <c r="V99" s="20">
        <f t="shared" ca="1" si="16"/>
        <v>0</v>
      </c>
      <c r="W99" s="20">
        <f t="shared" ca="1" si="16"/>
        <v>0</v>
      </c>
      <c r="X99" s="20">
        <f t="shared" ca="1" si="16"/>
        <v>0</v>
      </c>
      <c r="Y99" s="20">
        <f t="shared" ca="1" si="16"/>
        <v>0</v>
      </c>
      <c r="Z99" s="20">
        <f t="shared" ca="1" si="16"/>
        <v>0</v>
      </c>
      <c r="AA99" s="20">
        <f t="shared" ca="1" si="16"/>
        <v>0</v>
      </c>
      <c r="AB99" s="20">
        <f t="shared" ca="1" si="16"/>
        <v>0</v>
      </c>
      <c r="AC99" s="20">
        <f t="shared" ca="1" si="16"/>
        <v>0</v>
      </c>
      <c r="AD99" s="20">
        <f t="shared" ca="1" si="16"/>
        <v>0</v>
      </c>
      <c r="AE99" s="20">
        <f t="shared" ca="1" si="16"/>
        <v>0</v>
      </c>
    </row>
    <row r="100" spans="2:37" ht="18.75" x14ac:dyDescent="0.3">
      <c r="B100" t="s">
        <v>278</v>
      </c>
      <c r="C100" s="328" t="s">
        <v>278</v>
      </c>
      <c r="D100" s="335"/>
      <c r="E100" s="362"/>
      <c r="F100" s="326"/>
      <c r="G100" s="326"/>
      <c r="H100" s="327"/>
      <c r="I100" s="326"/>
      <c r="J100" s="326"/>
      <c r="K100" s="379"/>
      <c r="L100" s="326"/>
      <c r="M100" s="326"/>
      <c r="N100" s="326"/>
      <c r="O100" s="326"/>
      <c r="P100" s="326"/>
      <c r="Q100" s="326"/>
      <c r="R100" s="326"/>
      <c r="S100" s="326"/>
      <c r="T100" s="326"/>
      <c r="U100" s="326"/>
      <c r="V100" s="326"/>
      <c r="W100" s="326"/>
      <c r="X100" s="326"/>
      <c r="Y100" s="326"/>
      <c r="Z100" s="326"/>
      <c r="AA100" s="326"/>
      <c r="AB100" s="326"/>
      <c r="AC100" s="326"/>
      <c r="AD100" s="326"/>
      <c r="AE100" s="326"/>
      <c r="AF100" s="326"/>
    </row>
    <row r="101" spans="2:37" x14ac:dyDescent="0.25">
      <c r="B101" t="s">
        <v>278</v>
      </c>
      <c r="C101" s="155" t="s">
        <v>290</v>
      </c>
      <c r="D101" s="329" t="s">
        <v>73</v>
      </c>
      <c r="E101" s="367">
        <f ca="1">E63*E64+E85*E65</f>
        <v>0</v>
      </c>
      <c r="F101" s="20">
        <f t="shared" ref="F101:AE101" ca="1" si="17">F63*F64+F85*F65</f>
        <v>0</v>
      </c>
      <c r="G101" s="20">
        <f t="shared" ca="1" si="17"/>
        <v>0</v>
      </c>
      <c r="H101" s="336">
        <f t="shared" ca="1" si="17"/>
        <v>0</v>
      </c>
      <c r="I101" s="20">
        <f t="shared" ca="1" si="17"/>
        <v>0</v>
      </c>
      <c r="J101" s="20">
        <f t="shared" ca="1" si="17"/>
        <v>0</v>
      </c>
      <c r="K101" s="21">
        <f t="shared" ca="1" si="17"/>
        <v>0</v>
      </c>
      <c r="L101" s="20">
        <f t="shared" ca="1" si="17"/>
        <v>0</v>
      </c>
      <c r="M101" s="20">
        <f t="shared" ca="1" si="17"/>
        <v>0</v>
      </c>
      <c r="N101" s="20">
        <f t="shared" ca="1" si="17"/>
        <v>0</v>
      </c>
      <c r="O101" s="20">
        <f t="shared" ca="1" si="17"/>
        <v>0</v>
      </c>
      <c r="P101" s="20">
        <f t="shared" ca="1" si="17"/>
        <v>0</v>
      </c>
      <c r="Q101" s="20">
        <f t="shared" ca="1" si="17"/>
        <v>0</v>
      </c>
      <c r="R101" s="20">
        <f t="shared" ca="1" si="17"/>
        <v>0</v>
      </c>
      <c r="S101" s="20">
        <f t="shared" ca="1" si="17"/>
        <v>0</v>
      </c>
      <c r="T101" s="20">
        <f t="shared" ca="1" si="17"/>
        <v>0</v>
      </c>
      <c r="U101" s="20">
        <f t="shared" ca="1" si="17"/>
        <v>0</v>
      </c>
      <c r="V101" s="20">
        <f t="shared" ca="1" si="17"/>
        <v>0</v>
      </c>
      <c r="W101" s="20">
        <f t="shared" ca="1" si="17"/>
        <v>0</v>
      </c>
      <c r="X101" s="20">
        <f t="shared" ca="1" si="17"/>
        <v>0</v>
      </c>
      <c r="Y101" s="20">
        <f t="shared" ca="1" si="17"/>
        <v>0</v>
      </c>
      <c r="Z101" s="20">
        <f t="shared" ca="1" si="17"/>
        <v>0</v>
      </c>
      <c r="AA101" s="20">
        <f t="shared" ca="1" si="17"/>
        <v>0</v>
      </c>
      <c r="AB101" s="20">
        <f t="shared" ca="1" si="17"/>
        <v>0</v>
      </c>
      <c r="AC101" s="20">
        <f t="shared" ca="1" si="17"/>
        <v>0</v>
      </c>
      <c r="AD101" s="20">
        <f t="shared" ca="1" si="17"/>
        <v>0</v>
      </c>
      <c r="AE101" s="20">
        <f t="shared" ca="1" si="17"/>
        <v>0</v>
      </c>
    </row>
    <row r="102" spans="2:37" ht="18.75" x14ac:dyDescent="0.3">
      <c r="B102" t="s">
        <v>296</v>
      </c>
      <c r="C102" s="328" t="s">
        <v>296</v>
      </c>
      <c r="D102" s="335"/>
      <c r="E102" s="362"/>
      <c r="F102" s="326"/>
      <c r="G102" s="326"/>
      <c r="H102" s="327"/>
      <c r="I102" s="326"/>
      <c r="J102" s="326"/>
      <c r="K102" s="379"/>
      <c r="L102" s="326"/>
      <c r="M102" s="326"/>
      <c r="N102" s="326"/>
      <c r="O102" s="326"/>
      <c r="P102" s="326"/>
      <c r="Q102" s="326"/>
      <c r="R102" s="326"/>
      <c r="S102" s="326"/>
      <c r="T102" s="326"/>
      <c r="U102" s="326"/>
      <c r="V102" s="326"/>
      <c r="W102" s="326"/>
      <c r="X102" s="326"/>
      <c r="Y102" s="326"/>
      <c r="Z102" s="326"/>
      <c r="AA102" s="326"/>
      <c r="AB102" s="326"/>
      <c r="AC102" s="326"/>
      <c r="AD102" s="326"/>
      <c r="AE102" s="326"/>
      <c r="AF102" s="326"/>
    </row>
    <row r="103" spans="2:37" x14ac:dyDescent="0.25">
      <c r="B103" t="s">
        <v>296</v>
      </c>
      <c r="C103" s="155" t="s">
        <v>297</v>
      </c>
      <c r="D103" s="329" t="s">
        <v>73</v>
      </c>
      <c r="E103" s="20">
        <f ca="1">IFERROR(E72*E73+E86*E74/E75,0)</f>
        <v>0</v>
      </c>
      <c r="F103" s="20">
        <f t="shared" ref="F103:AE103" ca="1" si="18">IFERROR(F72*F73+F86*F74/F75,0)</f>
        <v>0</v>
      </c>
      <c r="G103" s="20">
        <f t="shared" ca="1" si="18"/>
        <v>0</v>
      </c>
      <c r="H103" s="20">
        <f t="shared" ca="1" si="18"/>
        <v>0</v>
      </c>
      <c r="I103" s="20">
        <f t="shared" ca="1" si="18"/>
        <v>0</v>
      </c>
      <c r="J103" s="20">
        <f t="shared" ca="1" si="18"/>
        <v>1350000</v>
      </c>
      <c r="K103" s="20">
        <f ca="1">IFERROR(K72*K73+K86*K74/K75,0)</f>
        <v>3562500</v>
      </c>
      <c r="L103" s="20">
        <f t="shared" ca="1" si="18"/>
        <v>7937500</v>
      </c>
      <c r="M103" s="20">
        <f t="shared" ca="1" si="18"/>
        <v>13875000</v>
      </c>
      <c r="N103" s="20">
        <f t="shared" ca="1" si="18"/>
        <v>22781250</v>
      </c>
      <c r="O103" s="20">
        <f t="shared" ca="1" si="18"/>
        <v>25606250</v>
      </c>
      <c r="P103" s="20">
        <f t="shared" ca="1" si="18"/>
        <v>38268750</v>
      </c>
      <c r="Q103" s="20">
        <f t="shared" ca="1" si="18"/>
        <v>54106250</v>
      </c>
      <c r="R103" s="20">
        <f t="shared" ca="1" si="18"/>
        <v>73906250</v>
      </c>
      <c r="S103" s="20">
        <f t="shared" ca="1" si="18"/>
        <v>98631250</v>
      </c>
      <c r="T103" s="20">
        <f t="shared" ca="1" si="18"/>
        <v>129531250</v>
      </c>
      <c r="U103" s="20">
        <f t="shared" ca="1" si="18"/>
        <v>167418750</v>
      </c>
      <c r="V103" s="20">
        <f t="shared" ca="1" si="18"/>
        <v>209306250</v>
      </c>
      <c r="W103" s="20">
        <f t="shared" ca="1" si="18"/>
        <v>253981250</v>
      </c>
      <c r="X103" s="20">
        <f t="shared" ca="1" si="18"/>
        <v>301881250</v>
      </c>
      <c r="Y103" s="20">
        <f t="shared" ca="1" si="18"/>
        <v>352662500</v>
      </c>
      <c r="Z103" s="20">
        <f t="shared" ca="1" si="18"/>
        <v>405725000</v>
      </c>
      <c r="AA103" s="20">
        <f t="shared" ca="1" si="18"/>
        <v>462500000</v>
      </c>
      <c r="AB103" s="20">
        <f t="shared" ca="1" si="18"/>
        <v>522950000</v>
      </c>
      <c r="AC103" s="20">
        <f t="shared" ca="1" si="18"/>
        <v>587000000</v>
      </c>
      <c r="AD103" s="20">
        <f t="shared" ca="1" si="18"/>
        <v>654400000</v>
      </c>
      <c r="AE103" s="20">
        <f t="shared" ca="1" si="18"/>
        <v>724687500</v>
      </c>
    </row>
    <row r="104" spans="2:37" x14ac:dyDescent="0.25">
      <c r="C104" s="293" t="s">
        <v>346</v>
      </c>
      <c r="D104" s="335" t="s">
        <v>73</v>
      </c>
      <c r="E104" s="370">
        <f ca="1">IF($D$4="Yes",E90,0)+IF($E$4="Yes",SUM(E92:E93),0)+IF($F$4="Yes",E95,0)+IF($G$4="Yes",E97,0)+IF($H$4="Yes",E99,0)+IF($I$4="Yes",E101,0)+IF($J$4="Yes",E103,0)</f>
        <v>0</v>
      </c>
      <c r="F104" s="370">
        <f t="shared" ref="F104:AE104" ca="1" si="19">IF($D$4="Yes",F90,0)+IF($E$4="Yes",SUM(F92:F93),0)+IF($F$4="Yes",F95,0)+IF($G$4="Yes",F97,0)+IF($H$4="Yes",F99,0)+IF($I$4="Yes",F101,0)+IF($J$4="Yes",F103,0)</f>
        <v>0</v>
      </c>
      <c r="G104" s="370">
        <f t="shared" ca="1" si="19"/>
        <v>0</v>
      </c>
      <c r="H104" s="370">
        <f t="shared" ca="1" si="19"/>
        <v>41391.000000000007</v>
      </c>
      <c r="I104" s="370">
        <f t="shared" ca="1" si="19"/>
        <v>0</v>
      </c>
      <c r="J104" s="370">
        <f t="shared" ca="1" si="19"/>
        <v>5927970</v>
      </c>
      <c r="K104" s="370">
        <f t="shared" ca="1" si="19"/>
        <v>13790470</v>
      </c>
      <c r="L104" s="370">
        <f t="shared" ca="1" si="19"/>
        <v>29165470</v>
      </c>
      <c r="M104" s="370">
        <f t="shared" ca="1" si="19"/>
        <v>47852970</v>
      </c>
      <c r="N104" s="370">
        <f t="shared" ca="1" si="19"/>
        <v>75884220</v>
      </c>
      <c r="O104" s="370">
        <f t="shared" ca="1" si="19"/>
        <v>107474220</v>
      </c>
      <c r="P104" s="370">
        <f t="shared" ca="1" si="19"/>
        <v>147627970</v>
      </c>
      <c r="Q104" s="370">
        <f t="shared" ca="1" si="19"/>
        <v>197890782.5</v>
      </c>
      <c r="R104" s="370">
        <f t="shared" ca="1" si="19"/>
        <v>260691173.125</v>
      </c>
      <c r="S104" s="370">
        <f t="shared" ca="1" si="19"/>
        <v>339162911.40625</v>
      </c>
      <c r="T104" s="370">
        <f t="shared" ca="1" si="19"/>
        <v>437353209.2578125</v>
      </c>
      <c r="U104" s="370">
        <f t="shared" ca="1" si="19"/>
        <v>559220456.57226563</v>
      </c>
      <c r="V104" s="370">
        <f t="shared" ca="1" si="19"/>
        <v>670368533.35449219</v>
      </c>
      <c r="W104" s="370">
        <f t="shared" ca="1" si="19"/>
        <v>791271218.59619141</v>
      </c>
      <c r="X104" s="370">
        <f t="shared" ca="1" si="19"/>
        <v>923128110.83862317</v>
      </c>
      <c r="Y104" s="370">
        <f t="shared" ca="1" si="19"/>
        <v>1000469740.4010011</v>
      </c>
      <c r="Z104" s="370">
        <f t="shared" ca="1" si="19"/>
        <v>1148666468.0392456</v>
      </c>
      <c r="AA104" s="370">
        <f t="shared" ca="1" si="19"/>
        <v>1309844020.9681704</v>
      </c>
      <c r="AB104" s="370">
        <f t="shared" ca="1" si="19"/>
        <v>1485114879.9712377</v>
      </c>
      <c r="AC104" s="370">
        <f t="shared" ca="1" si="19"/>
        <v>1675525872.3511739</v>
      </c>
      <c r="AD104" s="370">
        <f t="shared" ca="1" si="19"/>
        <v>1882110713.1648068</v>
      </c>
      <c r="AE104" s="370">
        <f t="shared" ca="1" si="19"/>
        <v>2104745585.079432</v>
      </c>
    </row>
    <row r="105" spans="2:37" x14ac:dyDescent="0.25">
      <c r="B105" s="293"/>
      <c r="C105" s="293"/>
      <c r="D105" s="343"/>
      <c r="E105" s="364"/>
      <c r="F105" s="19"/>
      <c r="G105" s="19"/>
      <c r="H105" s="331"/>
      <c r="I105" s="19"/>
      <c r="J105" s="19"/>
      <c r="K105" s="32"/>
      <c r="L105" s="19"/>
      <c r="M105" s="19"/>
      <c r="N105" s="19"/>
      <c r="O105" s="19"/>
      <c r="AH105" s="237"/>
    </row>
    <row r="106" spans="2:37" x14ac:dyDescent="0.25">
      <c r="B106" s="293"/>
      <c r="C106" s="340" t="s">
        <v>231</v>
      </c>
      <c r="D106" s="343"/>
      <c r="E106" s="364"/>
      <c r="F106" s="19"/>
      <c r="G106" s="19"/>
      <c r="H106" s="331"/>
      <c r="I106" s="19"/>
      <c r="J106" s="19"/>
      <c r="K106" s="32"/>
      <c r="L106" s="19"/>
      <c r="M106" s="19"/>
      <c r="N106" s="19"/>
      <c r="O106" s="19"/>
    </row>
    <row r="107" spans="2:37" ht="18.75" x14ac:dyDescent="0.3">
      <c r="B107" t="s">
        <v>263</v>
      </c>
      <c r="C107" s="328" t="s">
        <v>263</v>
      </c>
      <c r="D107" s="335"/>
      <c r="E107" s="362"/>
      <c r="F107" s="326"/>
      <c r="G107" s="326"/>
      <c r="H107" s="327"/>
      <c r="I107" s="326"/>
      <c r="J107" s="326"/>
      <c r="K107" s="379"/>
      <c r="L107" s="326"/>
      <c r="M107" s="326"/>
      <c r="N107" s="326"/>
      <c r="O107" s="326"/>
      <c r="P107" s="326"/>
      <c r="Q107" s="326"/>
      <c r="R107" s="326"/>
      <c r="S107" s="326"/>
      <c r="T107" s="326"/>
      <c r="U107" s="326"/>
      <c r="V107" s="326"/>
      <c r="W107" s="326"/>
      <c r="X107" s="326"/>
      <c r="Y107" s="326"/>
      <c r="Z107" s="326"/>
      <c r="AA107" s="326"/>
      <c r="AB107" s="326"/>
      <c r="AC107" s="326"/>
      <c r="AD107" s="326"/>
      <c r="AE107" s="326"/>
      <c r="AF107" s="326"/>
    </row>
    <row r="108" spans="2:37" x14ac:dyDescent="0.25">
      <c r="B108" t="s">
        <v>263</v>
      </c>
      <c r="C108" s="157" t="s">
        <v>295</v>
      </c>
      <c r="D108" s="329" t="s">
        <v>73</v>
      </c>
      <c r="E108" s="365">
        <f ca="1">'TEA values'!$C$26*Cockpit!E22*365*E81</f>
        <v>0</v>
      </c>
      <c r="F108" s="14">
        <f ca="1">'TEA values'!$C$26*Cockpit!F22*365*F81</f>
        <v>0</v>
      </c>
      <c r="G108" s="14">
        <f ca="1">'TEA values'!$C$26*Cockpit!G22*365*G81</f>
        <v>0</v>
      </c>
      <c r="H108" s="14">
        <f ca="1">'TEA values'!$C$26*Cockpit!H22*365*H81</f>
        <v>39420</v>
      </c>
      <c r="I108" s="14">
        <f>'TEA values'!$C$26*Cockpit!I22*365*I81</f>
        <v>0</v>
      </c>
      <c r="J108" s="14">
        <f ca="1">'TEA values'!$C$26*Cockpit!J22*365*J81</f>
        <v>131400</v>
      </c>
      <c r="K108" s="15">
        <f ca="1">'TEA values'!$C$26*Cockpit!K22*365*K81</f>
        <v>131400</v>
      </c>
      <c r="L108" s="14">
        <f ca="1">'TEA values'!$C$26*Cockpit!L22*365*L81</f>
        <v>131400</v>
      </c>
      <c r="M108" s="14">
        <f ca="1">'TEA values'!$C$26*Cockpit!M22*365*M81</f>
        <v>131400</v>
      </c>
      <c r="N108" s="14">
        <f ca="1">'TEA values'!$C$26*Cockpit!N22*365*N81</f>
        <v>131400</v>
      </c>
      <c r="O108" s="14">
        <f ca="1">'TEA values'!$C$26*Cockpit!O22*365*O81</f>
        <v>131400</v>
      </c>
      <c r="P108" s="14">
        <f ca="1">'TEA values'!$C$26*Cockpit!P22*365*P81</f>
        <v>131400</v>
      </c>
      <c r="Q108" s="14">
        <f ca="1">'TEA values'!$C$26*Cockpit!Q22*365*Q81</f>
        <v>131400</v>
      </c>
      <c r="R108" s="14">
        <f ca="1">'TEA values'!$C$26*Cockpit!R22*365*R81</f>
        <v>131400</v>
      </c>
      <c r="S108" s="14">
        <f ca="1">'TEA values'!$C$26*Cockpit!S22*365*S81</f>
        <v>131400</v>
      </c>
      <c r="T108" s="14">
        <f ca="1">'TEA values'!$C$26*Cockpit!T22*365*T81</f>
        <v>131400</v>
      </c>
      <c r="U108" s="14">
        <f ca="1">'TEA values'!$C$26*Cockpit!U22*365*U81</f>
        <v>131400</v>
      </c>
      <c r="V108" s="14">
        <f ca="1">'TEA values'!$C$26*Cockpit!V22*365*V81</f>
        <v>131400</v>
      </c>
      <c r="W108" s="14">
        <f ca="1">'TEA values'!$C$26*Cockpit!W22*365*W81</f>
        <v>131400</v>
      </c>
      <c r="X108" s="14">
        <f ca="1">'TEA values'!$C$26*Cockpit!X22*365*X81</f>
        <v>131400</v>
      </c>
      <c r="Y108" s="14">
        <f ca="1">'TEA values'!$C$26*Cockpit!Y22*365*Y81</f>
        <v>131400</v>
      </c>
      <c r="Z108" s="14">
        <f ca="1">'TEA values'!$C$26*Cockpit!Z22*365*Z81</f>
        <v>131400</v>
      </c>
      <c r="AA108" s="14">
        <f ca="1">'TEA values'!$C$26*Cockpit!AA22*365*AA81</f>
        <v>131400</v>
      </c>
      <c r="AB108" s="14">
        <f ca="1">'TEA values'!$C$26*Cockpit!AB22*365*AB81</f>
        <v>131400</v>
      </c>
      <c r="AC108" s="14">
        <f ca="1">'TEA values'!$C$26*Cockpit!AC22*365*AC81</f>
        <v>91980</v>
      </c>
      <c r="AD108" s="14">
        <f ca="1">'TEA values'!$C$26*Cockpit!AD22*365*AD81</f>
        <v>0</v>
      </c>
      <c r="AE108" s="14">
        <f ca="1">'TEA values'!$C$26*Cockpit!AE22*365*AE81</f>
        <v>0</v>
      </c>
      <c r="AK108" s="237"/>
    </row>
    <row r="109" spans="2:37" x14ac:dyDescent="0.25">
      <c r="B109" t="s">
        <v>263</v>
      </c>
      <c r="C109" s="157" t="s">
        <v>173</v>
      </c>
      <c r="D109" s="345" t="s">
        <v>73</v>
      </c>
      <c r="E109" s="365">
        <f ca="1">0.0325*E22*'TEA values'!$C$24*365*E81</f>
        <v>0</v>
      </c>
      <c r="F109" s="14">
        <f ca="1">0.0325*F22*'TEA values'!$C$24*365*F81</f>
        <v>0</v>
      </c>
      <c r="G109" s="14">
        <f ca="1">0.0325*G22*'TEA values'!$C$24*365*G81</f>
        <v>0</v>
      </c>
      <c r="H109" s="14">
        <f ca="1">0.0325*H22*'TEA values'!$C$24*365*H81</f>
        <v>1654.8187500000001</v>
      </c>
      <c r="I109" s="14">
        <f>0.0325*I22*'TEA values'!$C$24*365*I81</f>
        <v>0</v>
      </c>
      <c r="J109" s="14">
        <f ca="1">0.0325*J22*'TEA values'!$C$24*365*J81</f>
        <v>5516.0625</v>
      </c>
      <c r="K109" s="15">
        <f ca="1">0.0325*K22*'TEA values'!$C$24*365*K81</f>
        <v>5516.0625</v>
      </c>
      <c r="L109" s="14">
        <f ca="1">0.0325*L22*'TEA values'!$C$24*365*L81</f>
        <v>5516.0625</v>
      </c>
      <c r="M109" s="14">
        <f ca="1">0.0325*M22*'TEA values'!$C$24*365*M81</f>
        <v>5516.0625</v>
      </c>
      <c r="N109" s="14">
        <f ca="1">0.0325*N22*'TEA values'!$C$24*365*N81</f>
        <v>5516.0625</v>
      </c>
      <c r="O109" s="14">
        <f ca="1">0.0325*O22*'TEA values'!$C$24*365*O81</f>
        <v>5516.0625</v>
      </c>
      <c r="P109" s="14">
        <f ca="1">0.0325*P22*'TEA values'!$C$24*365*P81</f>
        <v>5516.0625</v>
      </c>
      <c r="Q109" s="14">
        <f ca="1">0.0325*Q22*'TEA values'!$C$24*365*Q81</f>
        <v>5516.0625</v>
      </c>
      <c r="R109" s="14">
        <f ca="1">0.0325*R22*'TEA values'!$C$24*365*R81</f>
        <v>5516.0625</v>
      </c>
      <c r="S109" s="14">
        <f ca="1">0.0325*S22*'TEA values'!$C$24*365*S81</f>
        <v>5516.0625</v>
      </c>
      <c r="T109" s="14">
        <f ca="1">0.0325*T22*'TEA values'!$C$24*365*T81</f>
        <v>5516.0625</v>
      </c>
      <c r="U109" s="14">
        <f ca="1">0.0325*U22*'TEA values'!$C$24*365*U81</f>
        <v>5516.0625</v>
      </c>
      <c r="V109" s="14">
        <f ca="1">0.0325*V22*'TEA values'!$C$24*365*V81</f>
        <v>5516.0625</v>
      </c>
      <c r="W109" s="14">
        <f ca="1">0.0325*W22*'TEA values'!$C$24*365*W81</f>
        <v>5516.0625</v>
      </c>
      <c r="X109" s="14">
        <f ca="1">0.0325*X22*'TEA values'!$C$24*365*X81</f>
        <v>5516.0625</v>
      </c>
      <c r="Y109" s="14">
        <f ca="1">0.0325*Y22*'TEA values'!$C$24*365*Y81</f>
        <v>5516.0625</v>
      </c>
      <c r="Z109" s="14">
        <f ca="1">0.0325*Z22*'TEA values'!$C$24*365*Z81</f>
        <v>5516.0625</v>
      </c>
      <c r="AA109" s="14">
        <f ca="1">0.0325*AA22*'TEA values'!$C$24*365*AA81</f>
        <v>5516.0625</v>
      </c>
      <c r="AB109" s="14">
        <f ca="1">0.0325*AB22*'TEA values'!$C$24*365*AB81</f>
        <v>5516.0625</v>
      </c>
      <c r="AC109" s="14">
        <f ca="1">0.0325*AC22*'TEA values'!$C$24*365*AC81</f>
        <v>3861.2437500000005</v>
      </c>
      <c r="AD109" s="14">
        <f ca="1">0.0325*AD22*'TEA values'!$C$24*365*AD81</f>
        <v>0</v>
      </c>
      <c r="AE109" s="14">
        <f ca="1">0.0325*AE22*'TEA values'!$C$24*365*AE81</f>
        <v>0</v>
      </c>
    </row>
    <row r="110" spans="2:37" ht="18.75" x14ac:dyDescent="0.3">
      <c r="B110" t="s">
        <v>264</v>
      </c>
      <c r="C110" s="328" t="s">
        <v>264</v>
      </c>
      <c r="D110" s="335"/>
      <c r="E110" s="362"/>
      <c r="F110" s="326"/>
      <c r="G110" s="326"/>
      <c r="H110" s="327"/>
      <c r="I110" s="326"/>
      <c r="J110" s="326"/>
      <c r="K110" s="379"/>
      <c r="L110" s="326"/>
      <c r="M110" s="326"/>
      <c r="N110" s="326"/>
      <c r="O110" s="326"/>
      <c r="P110" s="326"/>
      <c r="Q110" s="326"/>
      <c r="R110" s="326"/>
      <c r="S110" s="326"/>
      <c r="T110" s="326"/>
      <c r="U110" s="326"/>
      <c r="V110" s="326"/>
      <c r="W110" s="326"/>
      <c r="X110" s="326"/>
      <c r="Y110" s="326"/>
      <c r="Z110" s="326"/>
      <c r="AA110" s="326"/>
      <c r="AB110" s="326"/>
      <c r="AC110" s="326"/>
      <c r="AD110" s="326"/>
      <c r="AE110" s="326"/>
      <c r="AF110" s="326"/>
    </row>
    <row r="111" spans="2:37" x14ac:dyDescent="0.25">
      <c r="B111" t="s">
        <v>264</v>
      </c>
      <c r="C111" s="157" t="s">
        <v>293</v>
      </c>
      <c r="D111" s="345" t="s">
        <v>73</v>
      </c>
      <c r="E111" s="365">
        <f>Cockpit!E33*Cockpit!E29</f>
        <v>0</v>
      </c>
      <c r="F111" s="14">
        <f>Cockpit!F33*Cockpit!F29</f>
        <v>0</v>
      </c>
      <c r="G111" s="14">
        <f>Cockpit!G33*Cockpit!G29</f>
        <v>0</v>
      </c>
      <c r="H111" s="332">
        <f>Cockpit!H33*Cockpit!H29</f>
        <v>0</v>
      </c>
      <c r="I111" s="14">
        <f>Cockpit!I33*Cockpit!I29</f>
        <v>0</v>
      </c>
      <c r="J111" s="14">
        <f>Cockpit!J33*Cockpit!J29</f>
        <v>3416400</v>
      </c>
      <c r="K111" s="15">
        <f>Cockpit!K33*Cockpit!K29</f>
        <v>5475000</v>
      </c>
      <c r="L111" s="14">
        <f>Cockpit!L33*Cockpit!L29</f>
        <v>8760000</v>
      </c>
      <c r="M111" s="14">
        <f>Cockpit!M33*Cockpit!M29</f>
        <v>11497500.000000002</v>
      </c>
      <c r="N111" s="14">
        <f>Cockpit!N33*Cockpit!N29</f>
        <v>16014375</v>
      </c>
      <c r="O111" s="14">
        <f>Cockpit!O33*Cockpit!O29</f>
        <v>22173750</v>
      </c>
      <c r="P111" s="14">
        <f>Cockpit!P33*Cockpit!P29</f>
        <v>20787890.625</v>
      </c>
      <c r="Q111" s="14">
        <f>Cockpit!Q33*Cockpit!Q29</f>
        <v>25984863.28125</v>
      </c>
      <c r="R111" s="14">
        <f>Cockpit!R33*Cockpit!R29</f>
        <v>32481079.1015625</v>
      </c>
      <c r="S111" s="14">
        <f>Cockpit!S33*Cockpit!S29</f>
        <v>40601348.876953125</v>
      </c>
      <c r="T111" s="14">
        <f>Cockpit!T33*Cockpit!T29</f>
        <v>50751686.096191406</v>
      </c>
      <c r="U111" s="14">
        <f>Cockpit!U33*Cockpit!U29</f>
        <v>63439607.620239258</v>
      </c>
      <c r="V111" s="14">
        <f>Cockpit!V33*Cockpit!V29</f>
        <v>69783568.382263198</v>
      </c>
      <c r="W111" s="14">
        <f>Cockpit!W33*Cockpit!W29</f>
        <v>76761925.220489532</v>
      </c>
      <c r="X111" s="14">
        <f>Cockpit!X33*Cockpit!X29</f>
        <v>84438117.742538482</v>
      </c>
      <c r="Y111" s="14">
        <f>Cockpit!Y33*Cockpit!Y29</f>
        <v>92881929.516792342</v>
      </c>
      <c r="Z111" s="14">
        <f>Cockpit!Z33*Cockpit!Z29</f>
        <v>102170122.4684716</v>
      </c>
      <c r="AA111" s="14">
        <f>Cockpit!AA33*Cockpit!AA29</f>
        <v>112387134.71531877</v>
      </c>
      <c r="AB111" s="14">
        <f>Cockpit!AB33*Cockpit!AB29</f>
        <v>123625848.18685067</v>
      </c>
      <c r="AC111" s="14">
        <f>Cockpit!AC33*Cockpit!AC29</f>
        <v>135988433.00553575</v>
      </c>
      <c r="AD111" s="14">
        <f>Cockpit!AD33*Cockpit!AD29</f>
        <v>149587276.30608931</v>
      </c>
      <c r="AE111" s="14">
        <f>Cockpit!AE33*Cockpit!AE29</f>
        <v>164546003.93669826</v>
      </c>
    </row>
    <row r="112" spans="2:37" x14ac:dyDescent="0.25">
      <c r="B112" t="s">
        <v>264</v>
      </c>
      <c r="C112" s="157" t="s">
        <v>294</v>
      </c>
      <c r="D112" s="329" t="s">
        <v>73</v>
      </c>
      <c r="E112" s="365">
        <f>IFERROR(Cockpit!#REF!*2000,0)</f>
        <v>0</v>
      </c>
      <c r="F112" s="14">
        <f>IFERROR(Cockpit!B29*2000,0)</f>
        <v>0</v>
      </c>
      <c r="G112" s="14">
        <f>IFERROR(Cockpit!C29*2000,0)</f>
        <v>0</v>
      </c>
      <c r="H112" s="332">
        <f>IFERROR(Cockpit!D29*2000,0)</f>
        <v>0</v>
      </c>
      <c r="I112" s="14">
        <f>IFERROR(Cockpit!E29*2000,0)</f>
        <v>0</v>
      </c>
      <c r="J112" s="14">
        <f>IFERROR(Cockpit!F29*2000,0)</f>
        <v>0</v>
      </c>
      <c r="K112" s="15">
        <f>IFERROR(Cockpit!G29*2000,0)</f>
        <v>0</v>
      </c>
      <c r="L112" s="14">
        <f>IFERROR(Cockpit!H29*2000,0)</f>
        <v>0</v>
      </c>
      <c r="M112" s="14">
        <f>IFERROR(Cockpit!I29*2000,0)</f>
        <v>0</v>
      </c>
      <c r="N112" s="14">
        <f>IFERROR(Cockpit!J29*2000,0)</f>
        <v>24000</v>
      </c>
      <c r="O112" s="14">
        <f>IFERROR(Cockpit!K29*2000,0)</f>
        <v>50000</v>
      </c>
      <c r="P112" s="14">
        <f>IFERROR(Cockpit!L29*2000,0)</f>
        <v>100000</v>
      </c>
      <c r="Q112" s="14">
        <f>IFERROR(Cockpit!M29*2000,0)</f>
        <v>150000</v>
      </c>
      <c r="R112" s="14">
        <f>IFERROR(Cockpit!N29*2000,0)</f>
        <v>225000</v>
      </c>
      <c r="S112" s="14">
        <f>IFERROR(Cockpit!O29*2000,0)</f>
        <v>337500</v>
      </c>
      <c r="T112" s="14">
        <f>IFERROR(Cockpit!P29*2000,0)</f>
        <v>421875</v>
      </c>
      <c r="U112" s="14">
        <f>IFERROR(Cockpit!Q29*2000,0)</f>
        <v>527343.75</v>
      </c>
      <c r="V112" s="14">
        <f>IFERROR(Cockpit!R29*2000,0)</f>
        <v>659179.6875</v>
      </c>
      <c r="W112" s="14">
        <f>IFERROR(Cockpit!S29*2000,0)</f>
        <v>823974.609375</v>
      </c>
      <c r="X112" s="14">
        <f>IFERROR(Cockpit!T29*2000,0)</f>
        <v>1029968.26171875</v>
      </c>
      <c r="Y112" s="14">
        <f>IFERROR(Cockpit!U29*2000,0)</f>
        <v>1287460.3271484375</v>
      </c>
      <c r="Z112" s="14">
        <f>IFERROR(Cockpit!V29*2000,0)</f>
        <v>1416206.3598632815</v>
      </c>
      <c r="AA112" s="14">
        <f>IFERROR(Cockpit!W29*2000,0)</f>
        <v>1557826.9958496098</v>
      </c>
      <c r="AB112" s="14">
        <f>IFERROR(Cockpit!X29*2000,0)</f>
        <v>1713609.695434571</v>
      </c>
      <c r="AC112" s="14">
        <f>IFERROR(Cockpit!Y29*2000,0)</f>
        <v>1884970.6649780283</v>
      </c>
      <c r="AD112" s="14">
        <f>IFERROR(Cockpit!Z29*2000,0)</f>
        <v>2073467.7314758315</v>
      </c>
      <c r="AE112" s="14">
        <f>IFERROR(Cockpit!AA29*2000,0)</f>
        <v>2280814.5046234149</v>
      </c>
      <c r="AF112" t="s">
        <v>175</v>
      </c>
    </row>
    <row r="113" spans="2:32" x14ac:dyDescent="0.25">
      <c r="B113" t="s">
        <v>264</v>
      </c>
      <c r="C113" s="157" t="s">
        <v>173</v>
      </c>
      <c r="D113" s="329" t="s">
        <v>73</v>
      </c>
      <c r="E113" s="372">
        <f t="shared" ref="E113:AE113" si="20">E29*E33*0.0325</f>
        <v>0</v>
      </c>
      <c r="F113" s="346">
        <f t="shared" si="20"/>
        <v>0</v>
      </c>
      <c r="G113" s="346">
        <f t="shared" si="20"/>
        <v>0</v>
      </c>
      <c r="H113" s="346">
        <f t="shared" si="20"/>
        <v>0</v>
      </c>
      <c r="I113" s="346">
        <f t="shared" si="20"/>
        <v>0</v>
      </c>
      <c r="J113" s="346">
        <f t="shared" si="20"/>
        <v>111033</v>
      </c>
      <c r="K113" s="382">
        <f t="shared" si="20"/>
        <v>177937.5</v>
      </c>
      <c r="L113" s="346">
        <f t="shared" si="20"/>
        <v>284700</v>
      </c>
      <c r="M113" s="346">
        <f t="shared" si="20"/>
        <v>373668.75000000006</v>
      </c>
      <c r="N113" s="346">
        <f t="shared" si="20"/>
        <v>520467.1875</v>
      </c>
      <c r="O113" s="346">
        <f t="shared" si="20"/>
        <v>720646.875</v>
      </c>
      <c r="P113" s="346">
        <f t="shared" si="20"/>
        <v>675606.4453125</v>
      </c>
      <c r="Q113" s="346">
        <f t="shared" si="20"/>
        <v>844508.056640625</v>
      </c>
      <c r="R113" s="346">
        <f t="shared" si="20"/>
        <v>1055635.0708007813</v>
      </c>
      <c r="S113" s="346">
        <f t="shared" si="20"/>
        <v>1319543.8385009766</v>
      </c>
      <c r="T113" s="346">
        <f t="shared" si="20"/>
        <v>1649429.7981262207</v>
      </c>
      <c r="U113" s="346">
        <f t="shared" si="20"/>
        <v>2061787.2476577759</v>
      </c>
      <c r="V113" s="346">
        <f t="shared" si="20"/>
        <v>2267965.9724235539</v>
      </c>
      <c r="W113" s="346">
        <f t="shared" si="20"/>
        <v>2494762.5696659097</v>
      </c>
      <c r="X113" s="346">
        <f t="shared" si="20"/>
        <v>2744238.8266325006</v>
      </c>
      <c r="Y113" s="346">
        <f t="shared" si="20"/>
        <v>3018662.7092957511</v>
      </c>
      <c r="Z113" s="346">
        <f t="shared" si="20"/>
        <v>3320528.980225327</v>
      </c>
      <c r="AA113" s="346">
        <f t="shared" si="20"/>
        <v>3652581.8782478604</v>
      </c>
      <c r="AB113" s="346">
        <f t="shared" si="20"/>
        <v>4017840.066072647</v>
      </c>
      <c r="AC113" s="346">
        <f t="shared" si="20"/>
        <v>4419624.0726799117</v>
      </c>
      <c r="AD113" s="346">
        <f t="shared" si="20"/>
        <v>4861586.4799479032</v>
      </c>
      <c r="AE113" s="346">
        <f t="shared" si="20"/>
        <v>5347745.1279426934</v>
      </c>
    </row>
    <row r="114" spans="2:32" ht="18.75" x14ac:dyDescent="0.3">
      <c r="B114" t="s">
        <v>282</v>
      </c>
      <c r="C114" s="328" t="s">
        <v>282</v>
      </c>
      <c r="D114" s="335"/>
      <c r="E114" s="362"/>
      <c r="F114" s="326"/>
      <c r="G114" s="326"/>
      <c r="H114" s="327"/>
      <c r="I114" s="326"/>
      <c r="J114" s="326"/>
      <c r="K114" s="379"/>
      <c r="L114" s="326"/>
      <c r="M114" s="326"/>
      <c r="N114" s="326"/>
      <c r="O114" s="326"/>
      <c r="P114" s="326"/>
      <c r="Q114" s="326"/>
      <c r="R114" s="326"/>
      <c r="S114" s="326"/>
      <c r="T114" s="326"/>
      <c r="U114" s="326"/>
      <c r="V114" s="326"/>
      <c r="W114" s="326"/>
      <c r="X114" s="326"/>
      <c r="Y114" s="326"/>
      <c r="Z114" s="326"/>
      <c r="AA114" s="326"/>
      <c r="AB114" s="326"/>
      <c r="AC114" s="326"/>
      <c r="AD114" s="326"/>
      <c r="AE114" s="326"/>
      <c r="AF114" s="326"/>
    </row>
    <row r="115" spans="2:32" x14ac:dyDescent="0.25">
      <c r="B115" t="s">
        <v>282</v>
      </c>
      <c r="C115" s="157" t="s">
        <v>295</v>
      </c>
      <c r="D115" s="329" t="s">
        <v>73</v>
      </c>
      <c r="E115" s="365">
        <f ca="1">'TEA values'!$C$26*Cockpit!E38*365*E82</f>
        <v>0</v>
      </c>
      <c r="F115" s="14">
        <f ca="1">'TEA values'!$C$26*Cockpit!F38*365*F82</f>
        <v>0</v>
      </c>
      <c r="G115" s="14">
        <f ca="1">'TEA values'!$C$26*Cockpit!G38*365*G82</f>
        <v>0</v>
      </c>
      <c r="H115" s="14">
        <f ca="1">'TEA values'!$C$26*Cockpit!H38*365*H82</f>
        <v>0</v>
      </c>
      <c r="I115" s="14">
        <f ca="1">'TEA values'!$C$26*Cockpit!I38*365*I82</f>
        <v>0</v>
      </c>
      <c r="J115" s="14">
        <f ca="1">'TEA values'!$C$26*Cockpit!J38*365*J82</f>
        <v>0</v>
      </c>
      <c r="K115" s="15">
        <f ca="1">'TEA values'!$C$26*Cockpit!K38*365*K82</f>
        <v>0</v>
      </c>
      <c r="L115" s="14">
        <f ca="1">'TEA values'!$C$26*Cockpit!L38*365*L82</f>
        <v>0</v>
      </c>
      <c r="M115" s="14">
        <f ca="1">'TEA values'!$C$26*Cockpit!M38*365*M82</f>
        <v>0</v>
      </c>
      <c r="N115" s="14">
        <f ca="1">'TEA values'!$C$26*Cockpit!N38*365*N82</f>
        <v>0</v>
      </c>
      <c r="O115" s="14">
        <f ca="1">'TEA values'!$C$26*Cockpit!O38*365*O82</f>
        <v>0</v>
      </c>
      <c r="P115" s="14">
        <f ca="1">'TEA values'!$C$26*Cockpit!P38*365*P82</f>
        <v>0</v>
      </c>
      <c r="Q115" s="14">
        <f ca="1">'TEA values'!$C$26*Cockpit!Q38*365*Q82</f>
        <v>0</v>
      </c>
      <c r="R115" s="14">
        <f ca="1">'TEA values'!$C$26*Cockpit!R38*365*R82</f>
        <v>0</v>
      </c>
      <c r="S115" s="14">
        <f ca="1">'TEA values'!$C$26*Cockpit!S38*365*S82</f>
        <v>0</v>
      </c>
      <c r="T115" s="14">
        <f ca="1">'TEA values'!$C$26*Cockpit!T38*365*T82</f>
        <v>0</v>
      </c>
      <c r="U115" s="14">
        <f ca="1">'TEA values'!$C$26*Cockpit!U38*365*U82</f>
        <v>0</v>
      </c>
      <c r="V115" s="14">
        <f ca="1">'TEA values'!$C$26*Cockpit!V38*365*V82</f>
        <v>0</v>
      </c>
      <c r="W115" s="14">
        <f ca="1">'TEA values'!$C$26*Cockpit!W38*365*W82</f>
        <v>0</v>
      </c>
      <c r="X115" s="14">
        <f ca="1">'TEA values'!$C$26*Cockpit!X38*365*X82</f>
        <v>0</v>
      </c>
      <c r="Y115" s="14">
        <f ca="1">'TEA values'!$C$26*Cockpit!Y38*365*Y82</f>
        <v>0</v>
      </c>
      <c r="Z115" s="14">
        <f ca="1">'TEA values'!$C$26*Cockpit!Z38*365*Z82</f>
        <v>0</v>
      </c>
      <c r="AA115" s="14">
        <f ca="1">'TEA values'!$C$26*Cockpit!AA38*365*AA82</f>
        <v>0</v>
      </c>
      <c r="AB115" s="14">
        <f ca="1">'TEA values'!$C$26*Cockpit!AB38*365*AB82</f>
        <v>0</v>
      </c>
      <c r="AC115" s="14">
        <f ca="1">'TEA values'!$C$26*Cockpit!AC38*365*AC82</f>
        <v>0</v>
      </c>
      <c r="AD115" s="14">
        <f ca="1">'TEA values'!$C$26*Cockpit!AD38*365*AD82</f>
        <v>0</v>
      </c>
      <c r="AE115" s="14">
        <f ca="1">'TEA values'!$C$26*Cockpit!AE38*365*AE82</f>
        <v>0</v>
      </c>
    </row>
    <row r="116" spans="2:32" x14ac:dyDescent="0.25">
      <c r="B116" t="s">
        <v>282</v>
      </c>
      <c r="C116" s="157" t="s">
        <v>173</v>
      </c>
      <c r="D116" s="345" t="s">
        <v>73</v>
      </c>
      <c r="E116" s="365">
        <f ca="1">0.0325*E38*'TEA values'!$C$24*365*E82</f>
        <v>0</v>
      </c>
      <c r="F116" s="14">
        <f ca="1">0.0325*F38*'TEA values'!$C$24*365*F82</f>
        <v>0</v>
      </c>
      <c r="G116" s="14">
        <f ca="1">0.0325*G38*'TEA values'!$C$24*365*G82</f>
        <v>0</v>
      </c>
      <c r="H116" s="14">
        <f ca="1">0.0325*H38*'TEA values'!$C$24*365*H82</f>
        <v>0</v>
      </c>
      <c r="I116" s="14">
        <f ca="1">0.0325*I38*'TEA values'!$C$24*365*I82</f>
        <v>0</v>
      </c>
      <c r="J116" s="14">
        <f ca="1">0.0325*J38*'TEA values'!$C$24*365*J82</f>
        <v>0</v>
      </c>
      <c r="K116" s="15">
        <f ca="1">0.0325*K38*'TEA values'!$C$24*365*K82</f>
        <v>0</v>
      </c>
      <c r="L116" s="14">
        <f ca="1">0.0325*L38*'TEA values'!$C$24*365*L82</f>
        <v>0</v>
      </c>
      <c r="M116" s="14">
        <f ca="1">0.0325*M38*'TEA values'!$C$24*365*M82</f>
        <v>0</v>
      </c>
      <c r="N116" s="14">
        <f ca="1">0.0325*N38*'TEA values'!$C$24*365*N82</f>
        <v>0</v>
      </c>
      <c r="O116" s="14">
        <f ca="1">0.0325*O38*'TEA values'!$C$24*365*O82</f>
        <v>0</v>
      </c>
      <c r="P116" s="14">
        <f ca="1">0.0325*P38*'TEA values'!$C$24*365*P82</f>
        <v>0</v>
      </c>
      <c r="Q116" s="14">
        <f ca="1">0.0325*Q38*'TEA values'!$C$24*365*Q82</f>
        <v>0</v>
      </c>
      <c r="R116" s="14">
        <f ca="1">0.0325*R38*'TEA values'!$C$24*365*R82</f>
        <v>0</v>
      </c>
      <c r="S116" s="14">
        <f ca="1">0.0325*S38*'TEA values'!$C$24*365*S82</f>
        <v>0</v>
      </c>
      <c r="T116" s="14">
        <f ca="1">0.0325*T38*'TEA values'!$C$24*365*T82</f>
        <v>0</v>
      </c>
      <c r="U116" s="14">
        <f ca="1">0.0325*U38*'TEA values'!$C$24*365*U82</f>
        <v>0</v>
      </c>
      <c r="V116" s="14">
        <f ca="1">0.0325*V38*'TEA values'!$C$24*365*V82</f>
        <v>0</v>
      </c>
      <c r="W116" s="14">
        <f ca="1">0.0325*W38*'TEA values'!$C$24*365*W82</f>
        <v>0</v>
      </c>
      <c r="X116" s="14">
        <f ca="1">0.0325*X38*'TEA values'!$C$24*365*X82</f>
        <v>0</v>
      </c>
      <c r="Y116" s="14">
        <f ca="1">0.0325*Y38*'TEA values'!$C$24*365*Y82</f>
        <v>0</v>
      </c>
      <c r="Z116" s="14">
        <f ca="1">0.0325*Z38*'TEA values'!$C$24*365*Z82</f>
        <v>0</v>
      </c>
      <c r="AA116" s="14">
        <f ca="1">0.0325*AA38*'TEA values'!$C$24*365*AA82</f>
        <v>0</v>
      </c>
      <c r="AB116" s="14">
        <f ca="1">0.0325*AB38*'TEA values'!$C$24*365*AB82</f>
        <v>0</v>
      </c>
      <c r="AC116" s="14">
        <f ca="1">0.0325*AC38*'TEA values'!$C$24*365*AC82</f>
        <v>0</v>
      </c>
      <c r="AD116" s="14">
        <f ca="1">0.0325*AD38*'TEA values'!$C$24*365*AD82</f>
        <v>0</v>
      </c>
      <c r="AE116" s="14">
        <f ca="1">0.0325*AE38*'TEA values'!$C$24*365*AE82</f>
        <v>0</v>
      </c>
    </row>
    <row r="117" spans="2:32" ht="18.75" x14ac:dyDescent="0.3">
      <c r="B117" t="s">
        <v>283</v>
      </c>
      <c r="C117" s="328" t="s">
        <v>283</v>
      </c>
      <c r="D117" s="335"/>
      <c r="E117" s="362"/>
      <c r="F117" s="326"/>
      <c r="G117" s="326"/>
      <c r="H117" s="327"/>
      <c r="I117" s="326"/>
      <c r="J117" s="326"/>
      <c r="K117" s="379"/>
      <c r="L117" s="326"/>
      <c r="M117" s="326"/>
      <c r="N117" s="326"/>
      <c r="O117" s="326"/>
      <c r="P117" s="326"/>
      <c r="Q117" s="326"/>
      <c r="R117" s="326"/>
      <c r="S117" s="326"/>
      <c r="T117" s="326"/>
      <c r="U117" s="326"/>
      <c r="V117" s="326"/>
      <c r="W117" s="326"/>
      <c r="X117" s="326"/>
      <c r="Y117" s="326"/>
      <c r="Z117" s="326"/>
      <c r="AA117" s="326"/>
      <c r="AB117" s="326"/>
      <c r="AC117" s="326"/>
      <c r="AD117" s="326"/>
      <c r="AE117" s="326"/>
      <c r="AF117" s="326"/>
    </row>
    <row r="118" spans="2:32" x14ac:dyDescent="0.25">
      <c r="B118" t="s">
        <v>283</v>
      </c>
      <c r="C118" s="157" t="s">
        <v>295</v>
      </c>
      <c r="D118" s="329" t="s">
        <v>73</v>
      </c>
      <c r="E118" s="371">
        <f ca="1">'TEA values'!$C$26*Cockpit!E47*365*E83</f>
        <v>0</v>
      </c>
      <c r="F118" s="12">
        <f ca="1">'TEA values'!$C$26*Cockpit!F47*365*F83</f>
        <v>0</v>
      </c>
      <c r="G118" s="12">
        <f ca="1">'TEA values'!$C$26*Cockpit!G47*365*G83</f>
        <v>0</v>
      </c>
      <c r="H118" s="12">
        <f ca="1">'TEA values'!$C$26*Cockpit!H47*365*H83</f>
        <v>0</v>
      </c>
      <c r="I118" s="12">
        <f ca="1">'TEA values'!$C$26*Cockpit!I47*365*I83</f>
        <v>0</v>
      </c>
      <c r="J118" s="12">
        <f ca="1">'TEA values'!$C$26*Cockpit!J47*365*J83</f>
        <v>157680</v>
      </c>
      <c r="K118" s="13">
        <f ca="1">'TEA values'!$C$26*Cockpit!K47*365*K83</f>
        <v>486180</v>
      </c>
      <c r="L118" s="12">
        <f ca="1">'TEA values'!$C$26*Cockpit!L47*365*L83</f>
        <v>1143180</v>
      </c>
      <c r="M118" s="12">
        <f ca="1">'TEA values'!$C$26*Cockpit!M47*365*M83</f>
        <v>2128680</v>
      </c>
      <c r="N118" s="12">
        <f ca="1">'TEA values'!$C$26*Cockpit!N47*365*N83</f>
        <v>3606930</v>
      </c>
      <c r="O118" s="12">
        <f ca="1">'TEA values'!$C$26*Cockpit!O47*365*O83</f>
        <v>5827590</v>
      </c>
      <c r="P118" s="12">
        <f ca="1">'TEA values'!$C$26*Cockpit!P47*365*P83</f>
        <v>8600130</v>
      </c>
      <c r="Q118" s="12">
        <f ca="1">'TEA values'!$C$26*Cockpit!Q47*365*Q83</f>
        <v>12069090</v>
      </c>
      <c r="R118" s="12">
        <f ca="1">'TEA values'!$C$26*Cockpit!R47*365*R83</f>
        <v>16405290</v>
      </c>
      <c r="S118" s="12">
        <f ca="1">'TEA values'!$C$26*Cockpit!S47*365*S83</f>
        <v>21818970</v>
      </c>
      <c r="T118" s="12">
        <f ca="1">'TEA values'!$C$26*Cockpit!T47*365*T83</f>
        <v>28586070</v>
      </c>
      <c r="U118" s="12">
        <f ca="1">'TEA values'!$C$26*Cockpit!U47*365*U83</f>
        <v>37048230</v>
      </c>
      <c r="V118" s="12">
        <f ca="1">'TEA values'!$C$26*Cockpit!V47*365*V83</f>
        <v>46351350</v>
      </c>
      <c r="W118" s="12">
        <f ca="1">'TEA values'!$C$26*Cockpit!W47*365*W83</f>
        <v>56587410</v>
      </c>
      <c r="X118" s="12">
        <f ca="1">'TEA values'!$C$26*Cockpit!X47*365*X83</f>
        <v>67848390</v>
      </c>
      <c r="Y118" s="12">
        <f ca="1">'TEA values'!$C$26*Cockpit!Y47*365*Y83</f>
        <v>67848390</v>
      </c>
      <c r="Z118" s="12">
        <f ca="1">'TEA values'!$C$26*Cockpit!Z47*365*Z83</f>
        <v>80226270</v>
      </c>
      <c r="AA118" s="12">
        <f ca="1">'TEA values'!$C$26*Cockpit!AA47*365*AA83</f>
        <v>93852450</v>
      </c>
      <c r="AB118" s="12">
        <f ca="1">'TEA values'!$C$26*Cockpit!AB47*365*AB83</f>
        <v>108832050</v>
      </c>
      <c r="AC118" s="12">
        <f ca="1">'TEA values'!$C$26*Cockpit!AC47*365*AC83</f>
        <v>125309610</v>
      </c>
      <c r="AD118" s="12">
        <f ca="1">'TEA values'!$C$26*Cockpit!AD47*365*AD83</f>
        <v>143442810</v>
      </c>
      <c r="AE118" s="12">
        <f ca="1">'TEA values'!$C$26*Cockpit!AE47*365*AE83</f>
        <v>163231650</v>
      </c>
    </row>
    <row r="119" spans="2:32" x14ac:dyDescent="0.25">
      <c r="B119" t="s">
        <v>283</v>
      </c>
      <c r="C119" s="157" t="s">
        <v>173</v>
      </c>
      <c r="D119" s="345" t="s">
        <v>73</v>
      </c>
      <c r="E119" s="365">
        <f ca="1">0.0325*E47*'TEA values'!$C$24*365*E83</f>
        <v>0</v>
      </c>
      <c r="F119" s="14">
        <f ca="1">0.0325*F47*'TEA values'!$C$24*365*F83</f>
        <v>0</v>
      </c>
      <c r="G119" s="14">
        <f ca="1">0.0325*G47*'TEA values'!$C$24*365*G83</f>
        <v>0</v>
      </c>
      <c r="H119" s="14">
        <f ca="1">0.0325*H47*'TEA values'!$C$24*365*H83</f>
        <v>0</v>
      </c>
      <c r="I119" s="14">
        <f ca="1">0.0325*I47*'TEA values'!$C$24*365*I83</f>
        <v>0</v>
      </c>
      <c r="J119" s="14">
        <f ca="1">0.0325*J47*'TEA values'!$C$24*365*J83</f>
        <v>6619.2750000000005</v>
      </c>
      <c r="K119" s="15">
        <f ca="1">0.0325*K47*'TEA values'!$C$24*365*K83</f>
        <v>20409.431250000001</v>
      </c>
      <c r="L119" s="14">
        <f ca="1">0.0325*L47*'TEA values'!$C$24*365*L83</f>
        <v>47989.743750000001</v>
      </c>
      <c r="M119" s="14">
        <f ca="1">0.0325*M47*'TEA values'!$C$24*365*M83</f>
        <v>89360.212500000009</v>
      </c>
      <c r="N119" s="14">
        <f ca="1">0.0325*N47*'TEA values'!$C$24*365*N83</f>
        <v>151415.91562500002</v>
      </c>
      <c r="O119" s="14">
        <f ca="1">0.0325*O47*'TEA values'!$C$24*365*O83</f>
        <v>244637.37187500001</v>
      </c>
      <c r="P119" s="14">
        <f ca="1">0.0325*P47*'TEA values'!$C$24*365*P83</f>
        <v>361026.29062500002</v>
      </c>
      <c r="Q119" s="14">
        <f ca="1">0.0325*Q47*'TEA values'!$C$24*365*Q83</f>
        <v>506650.34062500007</v>
      </c>
      <c r="R119" s="14">
        <f ca="1">0.0325*R47*'TEA values'!$C$24*365*R83</f>
        <v>688680.40312500007</v>
      </c>
      <c r="S119" s="14">
        <f ca="1">0.0325*S47*'TEA values'!$C$24*365*S83</f>
        <v>915942.17812500009</v>
      </c>
      <c r="T119" s="14">
        <f ca="1">0.0325*T47*'TEA values'!$C$24*365*T83</f>
        <v>1200019.3968750001</v>
      </c>
      <c r="U119" s="14">
        <f ca="1">0.0325*U47*'TEA values'!$C$24*365*U83</f>
        <v>1555253.8218750001</v>
      </c>
      <c r="V119" s="14">
        <f ca="1">0.0325*V47*'TEA values'!$C$24*365*V83</f>
        <v>1945791.0468750002</v>
      </c>
      <c r="W119" s="14">
        <f ca="1">0.0325*W47*'TEA values'!$C$24*365*W83</f>
        <v>2375492.3156250003</v>
      </c>
      <c r="X119" s="14">
        <f ca="1">0.0325*X47*'TEA values'!$C$24*365*X83</f>
        <v>2848218.8718750002</v>
      </c>
      <c r="Y119" s="14">
        <f ca="1">0.0325*Y47*'TEA values'!$C$24*365*Y83</f>
        <v>2848218.8718750002</v>
      </c>
      <c r="Z119" s="14">
        <f ca="1">0.0325*Z47*'TEA values'!$C$24*365*Z83</f>
        <v>3367831.9593750001</v>
      </c>
      <c r="AA119" s="14">
        <f ca="1">0.0325*AA47*'TEA values'!$C$24*365*AA83</f>
        <v>3939847.6406250005</v>
      </c>
      <c r="AB119" s="14">
        <f ca="1">0.0325*AB47*'TEA values'!$C$24*365*AB83</f>
        <v>4568678.765625</v>
      </c>
      <c r="AC119" s="14">
        <f ca="1">0.0325*AC47*'TEA values'!$C$24*365*AC83</f>
        <v>5260393.0031250007</v>
      </c>
      <c r="AD119" s="14">
        <f ca="1">0.0325*AD47*'TEA values'!$C$24*365*AD83</f>
        <v>6021609.6281250007</v>
      </c>
      <c r="AE119" s="14">
        <f ca="1">0.0325*AE47*'TEA values'!$C$24*365*AE83</f>
        <v>6852328.6406250009</v>
      </c>
    </row>
    <row r="120" spans="2:32" ht="18.75" x14ac:dyDescent="0.3">
      <c r="B120" t="s">
        <v>265</v>
      </c>
      <c r="C120" s="328" t="s">
        <v>265</v>
      </c>
      <c r="D120" s="335"/>
      <c r="E120" s="362"/>
      <c r="F120" s="326"/>
      <c r="G120" s="326"/>
      <c r="H120" s="327"/>
      <c r="I120" s="326"/>
      <c r="J120" s="326"/>
      <c r="K120" s="379"/>
      <c r="L120" s="326"/>
      <c r="M120" s="326"/>
      <c r="N120" s="326"/>
      <c r="O120" s="326"/>
      <c r="P120" s="326"/>
      <c r="Q120" s="326"/>
      <c r="R120" s="326"/>
      <c r="S120" s="326"/>
      <c r="T120" s="326"/>
      <c r="U120" s="326"/>
      <c r="V120" s="326"/>
      <c r="W120" s="326"/>
      <c r="X120" s="326"/>
      <c r="Y120" s="326"/>
      <c r="Z120" s="326"/>
      <c r="AA120" s="326"/>
      <c r="AB120" s="326"/>
      <c r="AC120" s="326"/>
      <c r="AD120" s="326"/>
      <c r="AE120" s="326"/>
      <c r="AF120" s="326"/>
    </row>
    <row r="121" spans="2:32" x14ac:dyDescent="0.25">
      <c r="B121" t="s">
        <v>265</v>
      </c>
      <c r="C121" s="157" t="s">
        <v>298</v>
      </c>
      <c r="D121" s="329" t="s">
        <v>73</v>
      </c>
      <c r="E121" s="12">
        <f t="shared" ref="E121:AE121" si="21">IFERROR(E53*E58*(E54/(E55*E56*E59*E57+E54)),0)</f>
        <v>0</v>
      </c>
      <c r="F121" s="12">
        <f t="shared" si="21"/>
        <v>0</v>
      </c>
      <c r="G121" s="12">
        <f t="shared" si="21"/>
        <v>0</v>
      </c>
      <c r="H121" s="12">
        <f t="shared" si="21"/>
        <v>0</v>
      </c>
      <c r="I121" s="12">
        <f>IFERROR(I53*I58*(I54/(I55*I56*I59*I57+I54)),0)</f>
        <v>0</v>
      </c>
      <c r="J121" s="12">
        <f t="shared" si="21"/>
        <v>0</v>
      </c>
      <c r="K121" s="12">
        <f t="shared" si="21"/>
        <v>0</v>
      </c>
      <c r="L121" s="12">
        <f t="shared" si="21"/>
        <v>0</v>
      </c>
      <c r="M121" s="12">
        <f t="shared" si="21"/>
        <v>0</v>
      </c>
      <c r="N121" s="12">
        <f t="shared" si="21"/>
        <v>0</v>
      </c>
      <c r="O121" s="12">
        <f t="shared" si="21"/>
        <v>0</v>
      </c>
      <c r="P121" s="12">
        <f t="shared" si="21"/>
        <v>0</v>
      </c>
      <c r="Q121" s="12">
        <f t="shared" si="21"/>
        <v>0</v>
      </c>
      <c r="R121" s="12">
        <f t="shared" si="21"/>
        <v>0</v>
      </c>
      <c r="S121" s="12">
        <f t="shared" si="21"/>
        <v>0</v>
      </c>
      <c r="T121" s="12">
        <f t="shared" si="21"/>
        <v>0</v>
      </c>
      <c r="U121" s="12">
        <f t="shared" si="21"/>
        <v>0</v>
      </c>
      <c r="V121" s="12">
        <f t="shared" si="21"/>
        <v>0</v>
      </c>
      <c r="W121" s="12">
        <f t="shared" si="21"/>
        <v>0</v>
      </c>
      <c r="X121" s="12">
        <f t="shared" si="21"/>
        <v>0</v>
      </c>
      <c r="Y121" s="12">
        <f t="shared" si="21"/>
        <v>0</v>
      </c>
      <c r="Z121" s="12">
        <f t="shared" si="21"/>
        <v>0</v>
      </c>
      <c r="AA121" s="12">
        <f t="shared" si="21"/>
        <v>0</v>
      </c>
      <c r="AB121" s="12">
        <f t="shared" si="21"/>
        <v>0</v>
      </c>
      <c r="AC121" s="12">
        <f t="shared" si="21"/>
        <v>0</v>
      </c>
      <c r="AD121" s="12">
        <f t="shared" si="21"/>
        <v>0</v>
      </c>
      <c r="AE121" s="12">
        <f t="shared" si="21"/>
        <v>0</v>
      </c>
    </row>
    <row r="122" spans="2:32" x14ac:dyDescent="0.25">
      <c r="B122" t="s">
        <v>265</v>
      </c>
      <c r="C122" s="157" t="s">
        <v>294</v>
      </c>
      <c r="D122" s="329" t="s">
        <v>73</v>
      </c>
      <c r="E122" s="365">
        <v>0</v>
      </c>
      <c r="F122" s="14">
        <v>0</v>
      </c>
      <c r="G122" s="14">
        <v>0</v>
      </c>
      <c r="H122" s="332">
        <v>0</v>
      </c>
      <c r="I122" s="14">
        <f>IFERROR(Cockpit!E53*2000,0)</f>
        <v>0</v>
      </c>
      <c r="J122" s="14">
        <f>IFERROR(Cockpit!F53*2000,0)</f>
        <v>0</v>
      </c>
      <c r="K122" s="15">
        <f>IFERROR(Cockpit!G53*2000,0)</f>
        <v>0</v>
      </c>
      <c r="L122" s="14">
        <f>IFERROR(Cockpit!H53*2000,0)</f>
        <v>0</v>
      </c>
      <c r="M122" s="14">
        <f>IFERROR(Cockpit!I53*2000,0)</f>
        <v>0</v>
      </c>
      <c r="N122" s="14">
        <f>IFERROR(Cockpit!J53*2000,0)</f>
        <v>0</v>
      </c>
      <c r="O122" s="14">
        <f>IFERROR(Cockpit!K53*2000,0)</f>
        <v>0</v>
      </c>
    </row>
    <row r="123" spans="2:32" x14ac:dyDescent="0.25">
      <c r="B123" t="s">
        <v>265</v>
      </c>
      <c r="C123" s="157" t="s">
        <v>173</v>
      </c>
      <c r="D123" s="345" t="s">
        <v>73</v>
      </c>
      <c r="E123" s="365">
        <f ca="1">0.0325*E56*'TEA values'!$C$24*365*E84</f>
        <v>0</v>
      </c>
      <c r="F123" s="14">
        <f ca="1">0.0325*F56*'TEA values'!$C$24*365*F84</f>
        <v>0</v>
      </c>
      <c r="G123" s="14">
        <f ca="1">0.0325*G56*'TEA values'!$C$24*365*G84</f>
        <v>0</v>
      </c>
      <c r="H123" s="14">
        <f ca="1">0.0325*H56*'TEA values'!$C$24*365*H84</f>
        <v>0</v>
      </c>
      <c r="I123" s="14">
        <f ca="1">0.0325*I56*'TEA values'!$C$24*365*I84</f>
        <v>0</v>
      </c>
      <c r="J123" s="14">
        <f ca="1">0.0325*J56*'TEA values'!$C$24*365*J84</f>
        <v>0</v>
      </c>
      <c r="K123" s="15">
        <f ca="1">0.0325*K56*'TEA values'!$C$24*365*K84</f>
        <v>0</v>
      </c>
      <c r="L123" s="14">
        <f ca="1">0.0325*L56*'TEA values'!$C$24*365*L84</f>
        <v>0</v>
      </c>
      <c r="M123" s="14">
        <f ca="1">0.0325*M56*'TEA values'!$C$24*365*M84</f>
        <v>0</v>
      </c>
      <c r="N123" s="14">
        <f ca="1">0.0325*N56*'TEA values'!$C$24*365*N84</f>
        <v>0</v>
      </c>
      <c r="O123" s="14">
        <f ca="1">0.0325*O56*'TEA values'!$C$24*365*O84</f>
        <v>0</v>
      </c>
      <c r="P123" s="14">
        <f ca="1">0.0325*P56*'TEA values'!$C$24*365*P84</f>
        <v>0</v>
      </c>
      <c r="Q123" s="14">
        <f ca="1">0.0325*Q56*'TEA values'!$C$24*365*Q84</f>
        <v>0</v>
      </c>
      <c r="R123" s="14">
        <f ca="1">0.0325*R56*'TEA values'!$C$24*365*R84</f>
        <v>0</v>
      </c>
      <c r="S123" s="14">
        <f ca="1">0.0325*S56*'TEA values'!$C$24*365*S84</f>
        <v>0</v>
      </c>
      <c r="T123" s="14">
        <f ca="1">0.0325*T56*'TEA values'!$C$24*365*T84</f>
        <v>0</v>
      </c>
      <c r="U123" s="14">
        <f ca="1">0.0325*U56*'TEA values'!$C$24*365*U84</f>
        <v>0</v>
      </c>
      <c r="V123" s="14">
        <f ca="1">0.0325*V56*'TEA values'!$C$24*365*V84</f>
        <v>0</v>
      </c>
      <c r="W123" s="14">
        <f ca="1">0.0325*W56*'TEA values'!$C$24*365*W84</f>
        <v>0</v>
      </c>
      <c r="X123" s="14">
        <f ca="1">0.0325*X56*'TEA values'!$C$24*365*X84</f>
        <v>0</v>
      </c>
      <c r="Y123" s="14">
        <f ca="1">0.0325*Y56*'TEA values'!$C$24*365*Y84</f>
        <v>0</v>
      </c>
      <c r="Z123" s="14">
        <f ca="1">0.0325*Z56*'TEA values'!$C$24*365*Z84</f>
        <v>0</v>
      </c>
      <c r="AA123" s="14">
        <f ca="1">0.0325*AA56*'TEA values'!$C$24*365*AA84</f>
        <v>0</v>
      </c>
      <c r="AB123" s="14">
        <f ca="1">0.0325*AB56*'TEA values'!$C$24*365*AB84</f>
        <v>0</v>
      </c>
      <c r="AC123" s="14">
        <f ca="1">0.0325*AC56*'TEA values'!$C$24*365*AC84</f>
        <v>0</v>
      </c>
      <c r="AD123" s="14">
        <f ca="1">0.0325*AD56*'TEA values'!$C$24*365*AD84</f>
        <v>0</v>
      </c>
      <c r="AE123" s="14">
        <f ca="1">0.0325*AE56*'TEA values'!$C$24*365*AE84</f>
        <v>0</v>
      </c>
    </row>
    <row r="124" spans="2:32" ht="18.75" x14ac:dyDescent="0.3">
      <c r="B124" t="s">
        <v>278</v>
      </c>
      <c r="C124" s="328" t="s">
        <v>278</v>
      </c>
      <c r="D124" s="335"/>
      <c r="E124" s="362"/>
      <c r="F124" s="326"/>
      <c r="G124" s="326"/>
      <c r="H124" s="327"/>
      <c r="I124" s="326"/>
      <c r="J124" s="326"/>
      <c r="K124" s="379"/>
      <c r="L124" s="326"/>
      <c r="M124" s="326"/>
      <c r="N124" s="326"/>
      <c r="O124" s="326"/>
      <c r="P124" s="326"/>
      <c r="Q124" s="326"/>
      <c r="R124" s="326"/>
      <c r="S124" s="326"/>
      <c r="T124" s="326"/>
      <c r="U124" s="326"/>
      <c r="V124" s="326"/>
      <c r="W124" s="326"/>
      <c r="X124" s="326"/>
      <c r="Y124" s="326"/>
      <c r="Z124" s="326"/>
      <c r="AA124" s="326"/>
      <c r="AB124" s="326"/>
      <c r="AC124" s="326"/>
      <c r="AD124" s="326"/>
      <c r="AE124" s="326"/>
      <c r="AF124" s="326"/>
    </row>
    <row r="125" spans="2:32" x14ac:dyDescent="0.25">
      <c r="B125" t="s">
        <v>278</v>
      </c>
      <c r="C125" s="157" t="s">
        <v>298</v>
      </c>
      <c r="D125" s="329" t="s">
        <v>73</v>
      </c>
      <c r="E125" s="371">
        <f>IFERROR(E63*E67*(E64/(E65*E68+E64)),0)</f>
        <v>0</v>
      </c>
      <c r="F125" s="12">
        <f t="shared" ref="F125:AE125" si="22">IFERROR(F63*F67*(F64/(F65*F68+F64)),0)</f>
        <v>0</v>
      </c>
      <c r="G125" s="12">
        <f t="shared" si="22"/>
        <v>0</v>
      </c>
      <c r="H125" s="12">
        <f t="shared" si="22"/>
        <v>0</v>
      </c>
      <c r="I125" s="12">
        <f t="shared" si="22"/>
        <v>0</v>
      </c>
      <c r="J125" s="12">
        <f t="shared" si="22"/>
        <v>0</v>
      </c>
      <c r="K125" s="13">
        <f t="shared" si="22"/>
        <v>0</v>
      </c>
      <c r="L125" s="12">
        <f t="shared" si="22"/>
        <v>0</v>
      </c>
      <c r="M125" s="12">
        <f t="shared" si="22"/>
        <v>0</v>
      </c>
      <c r="N125" s="12">
        <f t="shared" si="22"/>
        <v>0</v>
      </c>
      <c r="O125" s="12">
        <f t="shared" si="22"/>
        <v>0</v>
      </c>
      <c r="P125" s="12">
        <f t="shared" si="22"/>
        <v>0</v>
      </c>
      <c r="Q125" s="12">
        <f t="shared" si="22"/>
        <v>0</v>
      </c>
      <c r="R125" s="12">
        <f t="shared" si="22"/>
        <v>0</v>
      </c>
      <c r="S125" s="12">
        <f t="shared" si="22"/>
        <v>0</v>
      </c>
      <c r="T125" s="12">
        <f t="shared" si="22"/>
        <v>0</v>
      </c>
      <c r="U125" s="12">
        <f t="shared" si="22"/>
        <v>0</v>
      </c>
      <c r="V125" s="12">
        <f t="shared" si="22"/>
        <v>0</v>
      </c>
      <c r="W125" s="12">
        <f t="shared" si="22"/>
        <v>0</v>
      </c>
      <c r="X125" s="12">
        <f t="shared" si="22"/>
        <v>0</v>
      </c>
      <c r="Y125" s="12">
        <f t="shared" si="22"/>
        <v>0</v>
      </c>
      <c r="Z125" s="12">
        <f t="shared" si="22"/>
        <v>0</v>
      </c>
      <c r="AA125" s="12">
        <f t="shared" si="22"/>
        <v>0</v>
      </c>
      <c r="AB125" s="12">
        <f t="shared" si="22"/>
        <v>0</v>
      </c>
      <c r="AC125" s="12">
        <f t="shared" si="22"/>
        <v>0</v>
      </c>
      <c r="AD125" s="12">
        <f t="shared" si="22"/>
        <v>0</v>
      </c>
      <c r="AE125" s="12">
        <f t="shared" si="22"/>
        <v>0</v>
      </c>
    </row>
    <row r="126" spans="2:32" x14ac:dyDescent="0.25">
      <c r="B126" t="s">
        <v>278</v>
      </c>
      <c r="C126" s="157" t="s">
        <v>294</v>
      </c>
      <c r="D126" s="329" t="s">
        <v>73</v>
      </c>
      <c r="E126" s="365">
        <f>IFERROR(Cockpit!#REF!*2000,0)</f>
        <v>0</v>
      </c>
      <c r="F126" s="14">
        <f>IFERROR(Cockpit!B63*2000,0)</f>
        <v>0</v>
      </c>
      <c r="G126" s="14">
        <f>IFERROR(Cockpit!C63*2000,0)</f>
        <v>0</v>
      </c>
      <c r="H126" s="332">
        <f>IFERROR(Cockpit!D63*2000,0)</f>
        <v>0</v>
      </c>
      <c r="I126" s="14">
        <f>IFERROR(Cockpit!E63*2000,0)</f>
        <v>0</v>
      </c>
      <c r="J126" s="14">
        <f>IFERROR(Cockpit!F63*2000,0)</f>
        <v>0</v>
      </c>
      <c r="K126" s="15">
        <f>IFERROR(Cockpit!G63*2000,0)</f>
        <v>0</v>
      </c>
      <c r="L126" s="14">
        <f>IFERROR(Cockpit!H63*2000,0)</f>
        <v>0</v>
      </c>
      <c r="M126" s="14">
        <f>IFERROR(Cockpit!I63*2000,0)</f>
        <v>0</v>
      </c>
      <c r="N126" s="14">
        <f>IFERROR(Cockpit!J63*2000,0)</f>
        <v>0</v>
      </c>
      <c r="O126" s="14">
        <f>IFERROR(Cockpit!K63*2000,0)</f>
        <v>0</v>
      </c>
    </row>
    <row r="127" spans="2:32" x14ac:dyDescent="0.25">
      <c r="B127" t="s">
        <v>278</v>
      </c>
      <c r="C127" s="157" t="s">
        <v>173</v>
      </c>
      <c r="D127" s="329" t="s">
        <v>73</v>
      </c>
      <c r="E127" s="365">
        <f ca="1">0.0325*E66*'TEA values'!$C$24*365*E85</f>
        <v>0</v>
      </c>
      <c r="F127" s="14">
        <f ca="1">0.0325*F66*'TEA values'!$C$24*365*F85</f>
        <v>0</v>
      </c>
      <c r="G127" s="14">
        <f ca="1">0.0325*G66*'TEA values'!$C$24*365*G85</f>
        <v>0</v>
      </c>
      <c r="H127" s="14">
        <f ca="1">0.0325*H66*'TEA values'!$C$24*365*H85</f>
        <v>0</v>
      </c>
      <c r="I127" s="14">
        <f ca="1">0.0325*I66*'TEA values'!$C$24*365*I85</f>
        <v>0</v>
      </c>
      <c r="J127" s="14">
        <f ca="1">0.0325*J66*'TEA values'!$C$24*365*J85</f>
        <v>0</v>
      </c>
      <c r="K127" s="15">
        <f ca="1">0.0325*K66*'TEA values'!$C$24*365*K85</f>
        <v>0</v>
      </c>
      <c r="L127" s="14">
        <f ca="1">0.0325*L66*'TEA values'!$C$24*365*L85</f>
        <v>0</v>
      </c>
      <c r="M127" s="14">
        <f ca="1">0.0325*M66*'TEA values'!$C$24*365*M85</f>
        <v>0</v>
      </c>
      <c r="N127" s="14">
        <f ca="1">0.0325*N66*'TEA values'!$C$24*365*N85</f>
        <v>0</v>
      </c>
      <c r="O127" s="14">
        <f ca="1">0.0325*O66*'TEA values'!$C$24*365*O85</f>
        <v>0</v>
      </c>
      <c r="P127" s="14">
        <f ca="1">0.0325*P66*'TEA values'!$C$24*365*P85</f>
        <v>0</v>
      </c>
      <c r="Q127" s="14">
        <f ca="1">0.0325*Q66*'TEA values'!$C$24*365*Q85</f>
        <v>0</v>
      </c>
      <c r="R127" s="14">
        <f ca="1">0.0325*R66*'TEA values'!$C$24*365*R85</f>
        <v>0</v>
      </c>
      <c r="S127" s="14">
        <f ca="1">0.0325*S66*'TEA values'!$C$24*365*S85</f>
        <v>0</v>
      </c>
      <c r="T127" s="14">
        <f ca="1">0.0325*T66*'TEA values'!$C$24*365*T85</f>
        <v>0</v>
      </c>
      <c r="U127" s="14">
        <f ca="1">0.0325*U66*'TEA values'!$C$24*365*U85</f>
        <v>0</v>
      </c>
      <c r="V127" s="14">
        <f ca="1">0.0325*V66*'TEA values'!$C$24*365*V85</f>
        <v>0</v>
      </c>
      <c r="W127" s="14">
        <f ca="1">0.0325*W66*'TEA values'!$C$24*365*W85</f>
        <v>0</v>
      </c>
      <c r="X127" s="14">
        <f ca="1">0.0325*X66*'TEA values'!$C$24*365*X85</f>
        <v>0</v>
      </c>
      <c r="Y127" s="14">
        <f ca="1">0.0325*Y66*'TEA values'!$C$24*365*Y85</f>
        <v>0</v>
      </c>
      <c r="Z127" s="14">
        <f ca="1">0.0325*Z66*'TEA values'!$C$24*365*Z85</f>
        <v>0</v>
      </c>
      <c r="AA127" s="14">
        <f ca="1">0.0325*AA66*'TEA values'!$C$24*365*AA85</f>
        <v>0</v>
      </c>
      <c r="AB127" s="14">
        <f ca="1">0.0325*AB66*'TEA values'!$C$24*365*AB85</f>
        <v>0</v>
      </c>
      <c r="AC127" s="14">
        <f ca="1">0.0325*AC66*'TEA values'!$C$24*365*AC85</f>
        <v>0</v>
      </c>
      <c r="AD127" s="14">
        <f ca="1">0.0325*AD66*'TEA values'!$C$24*365*AD85</f>
        <v>0</v>
      </c>
      <c r="AE127" s="14">
        <f ca="1">0.0325*AE66*'TEA values'!$C$24*365*AE85</f>
        <v>0</v>
      </c>
    </row>
    <row r="128" spans="2:32" ht="18.75" x14ac:dyDescent="0.3">
      <c r="B128" t="s">
        <v>296</v>
      </c>
      <c r="C128" s="328" t="s">
        <v>296</v>
      </c>
      <c r="D128" s="335"/>
      <c r="E128" s="362"/>
      <c r="F128" s="326"/>
      <c r="G128" s="326"/>
      <c r="H128" s="327"/>
      <c r="I128" s="326"/>
      <c r="J128" s="326"/>
      <c r="K128" s="379"/>
      <c r="L128" s="326"/>
      <c r="M128" s="326"/>
      <c r="N128" s="326"/>
      <c r="O128" s="326"/>
      <c r="P128" s="326"/>
      <c r="Q128" s="326"/>
      <c r="R128" s="326"/>
      <c r="S128" s="326"/>
      <c r="T128" s="326"/>
      <c r="U128" s="326"/>
      <c r="V128" s="326"/>
      <c r="W128" s="326"/>
      <c r="X128" s="326"/>
      <c r="Y128" s="326"/>
      <c r="Z128" s="326"/>
      <c r="AA128" s="326"/>
      <c r="AB128" s="326"/>
      <c r="AC128" s="326"/>
      <c r="AD128" s="326"/>
      <c r="AE128" s="326"/>
      <c r="AF128" s="326"/>
    </row>
    <row r="129" spans="2:32" x14ac:dyDescent="0.25">
      <c r="B129" t="s">
        <v>296</v>
      </c>
      <c r="C129" s="157" t="s">
        <v>298</v>
      </c>
      <c r="D129" s="329" t="s">
        <v>73</v>
      </c>
      <c r="E129" s="371">
        <f t="shared" ref="E129:AE129" si="23">IFERROR(E72*E77*(E73/(E74+E73)),0)</f>
        <v>0</v>
      </c>
      <c r="F129" s="12">
        <f t="shared" si="23"/>
        <v>0</v>
      </c>
      <c r="G129" s="12">
        <f t="shared" si="23"/>
        <v>0</v>
      </c>
      <c r="H129" s="12">
        <f>IFERROR(H72*H77*(H73/(H74+H73)),0)</f>
        <v>0</v>
      </c>
      <c r="I129" s="12">
        <f t="shared" si="23"/>
        <v>0</v>
      </c>
      <c r="J129" s="12">
        <f>IFERROR(J72*J77*(J73/(J74+J73)),0)</f>
        <v>253066.66666666666</v>
      </c>
      <c r="K129" s="13">
        <f t="shared" si="23"/>
        <v>405555.55555555556</v>
      </c>
      <c r="L129" s="12">
        <f t="shared" si="23"/>
        <v>648888.88888888888</v>
      </c>
      <c r="M129" s="12">
        <f t="shared" si="23"/>
        <v>851666.66666666674</v>
      </c>
      <c r="N129" s="12">
        <f t="shared" si="23"/>
        <v>1186250</v>
      </c>
      <c r="O129" s="12">
        <f t="shared" si="23"/>
        <v>1644933.3333333333</v>
      </c>
      <c r="P129" s="12">
        <f t="shared" si="23"/>
        <v>2053733.3333333333</v>
      </c>
      <c r="Q129" s="12">
        <f t="shared" si="23"/>
        <v>1927200</v>
      </c>
      <c r="R129" s="12">
        <f t="shared" si="23"/>
        <v>2409000</v>
      </c>
      <c r="S129" s="12">
        <f t="shared" si="23"/>
        <v>3007600</v>
      </c>
      <c r="T129" s="12">
        <f t="shared" si="23"/>
        <v>3759500</v>
      </c>
      <c r="U129" s="12">
        <f t="shared" si="23"/>
        <v>4701200</v>
      </c>
      <c r="V129" s="12">
        <f t="shared" si="23"/>
        <v>5168400</v>
      </c>
      <c r="W129" s="12">
        <f t="shared" si="23"/>
        <v>5686700</v>
      </c>
      <c r="X129" s="12">
        <f t="shared" si="23"/>
        <v>6256100</v>
      </c>
      <c r="Y129" s="12">
        <f t="shared" si="23"/>
        <v>6876600</v>
      </c>
      <c r="Z129" s="12">
        <f t="shared" si="23"/>
        <v>7570100</v>
      </c>
      <c r="AA129" s="12">
        <f t="shared" si="23"/>
        <v>8322000</v>
      </c>
      <c r="AB129" s="12">
        <f t="shared" si="23"/>
        <v>9154200</v>
      </c>
      <c r="AC129" s="12">
        <f t="shared" si="23"/>
        <v>10074000</v>
      </c>
      <c r="AD129" s="12">
        <f t="shared" si="23"/>
        <v>11081400</v>
      </c>
      <c r="AE129" s="12">
        <f t="shared" si="23"/>
        <v>12191000</v>
      </c>
    </row>
    <row r="130" spans="2:32" x14ac:dyDescent="0.25">
      <c r="B130" t="s">
        <v>296</v>
      </c>
      <c r="C130" s="157" t="s">
        <v>294</v>
      </c>
      <c r="D130" s="329" t="s">
        <v>73</v>
      </c>
      <c r="E130" s="365">
        <f>IFERROR(Cockpit!#REF!*2000,0)</f>
        <v>0</v>
      </c>
      <c r="F130" s="14">
        <f>IFERROR(Cockpit!B72*2000,0)</f>
        <v>0</v>
      </c>
      <c r="G130" s="14">
        <f>IFERROR(Cockpit!C72*2000,0)</f>
        <v>0</v>
      </c>
      <c r="H130" s="332">
        <f>IFERROR(Cockpit!D72*2000,0)</f>
        <v>0</v>
      </c>
      <c r="I130" s="14">
        <f>IFERROR(Cockpit!E72*2000,0)</f>
        <v>0</v>
      </c>
      <c r="J130" s="14">
        <f>IFERROR(Cockpit!F72*2000,0)</f>
        <v>0</v>
      </c>
      <c r="K130" s="15">
        <f>IFERROR(Cockpit!G72*2000,0)</f>
        <v>0</v>
      </c>
      <c r="L130" s="14">
        <f>IFERROR(Cockpit!H72*2000,0)</f>
        <v>0</v>
      </c>
      <c r="M130" s="14">
        <f>IFERROR(Cockpit!I72*2000,0)</f>
        <v>0</v>
      </c>
      <c r="N130" s="14">
        <f>IFERROR(Cockpit!J72*2000,0)</f>
        <v>24000</v>
      </c>
      <c r="O130" s="14">
        <f>IFERROR(Cockpit!K72*2000,0)</f>
        <v>50000</v>
      </c>
      <c r="P130" s="14">
        <f>IFERROR(Cockpit!L72*2000,0)</f>
        <v>100000</v>
      </c>
      <c r="Q130" s="14">
        <f>IFERROR(Cockpit!M72*2000,0)</f>
        <v>150000</v>
      </c>
      <c r="R130" s="14">
        <f>IFERROR(Cockpit!N72*2000,0)</f>
        <v>225000</v>
      </c>
      <c r="S130" s="14">
        <f>IFERROR(Cockpit!O72*2000,0)</f>
        <v>338000</v>
      </c>
      <c r="T130" s="14">
        <f>IFERROR(Cockpit!P72*2000,0)</f>
        <v>422000</v>
      </c>
      <c r="U130" s="14">
        <f>IFERROR(Cockpit!Q72*2000,0)</f>
        <v>528000</v>
      </c>
      <c r="V130" s="14">
        <f>IFERROR(Cockpit!R72*2000,0)</f>
        <v>660000</v>
      </c>
      <c r="W130" s="14">
        <f>IFERROR(Cockpit!S72*2000,0)</f>
        <v>824000</v>
      </c>
      <c r="X130" s="14">
        <f>IFERROR(Cockpit!T72*2000,0)</f>
        <v>1030000</v>
      </c>
      <c r="Y130" s="14">
        <f>IFERROR(Cockpit!U72*2000,0)</f>
        <v>1288000</v>
      </c>
      <c r="Z130" s="14">
        <f>IFERROR(Cockpit!V72*2000,0)</f>
        <v>1416000</v>
      </c>
      <c r="AA130" s="14">
        <f>IFERROR(Cockpit!W72*2000,0)</f>
        <v>1558000</v>
      </c>
      <c r="AB130" s="14">
        <f>IFERROR(Cockpit!X72*2000,0)</f>
        <v>1714000</v>
      </c>
      <c r="AC130" s="14">
        <f>IFERROR(Cockpit!Y72*2000,0)</f>
        <v>1884000</v>
      </c>
      <c r="AD130" s="14">
        <f>IFERROR(Cockpit!Z72*2000,0)</f>
        <v>2074000</v>
      </c>
      <c r="AE130" s="14">
        <f>IFERROR(Cockpit!AA72*2000,0)</f>
        <v>2280000</v>
      </c>
    </row>
    <row r="131" spans="2:32" x14ac:dyDescent="0.25">
      <c r="B131" t="s">
        <v>296</v>
      </c>
      <c r="C131" s="157" t="s">
        <v>173</v>
      </c>
      <c r="D131" s="329"/>
      <c r="E131" s="365">
        <f ca="1">0.0325*E76*'TEA values'!$C$24*365*E86</f>
        <v>0</v>
      </c>
      <c r="F131" s="14">
        <f ca="1">0.0325*F76*'TEA values'!$C$24*365*F86</f>
        <v>0</v>
      </c>
      <c r="G131" s="14">
        <f ca="1">0.0325*G76*'TEA values'!$C$24*365*G86</f>
        <v>0</v>
      </c>
      <c r="H131" s="14">
        <f ca="1">0.0325*H76*'TEA values'!$C$24*365*H86</f>
        <v>0</v>
      </c>
      <c r="I131" s="14">
        <f ca="1">0.0325*I76*'TEA values'!$C$24*365*I86</f>
        <v>0</v>
      </c>
      <c r="J131" s="14">
        <f ca="1">0.0325*J76*'TEA values'!$C$24*365*J86</f>
        <v>6619.2750000000005</v>
      </c>
      <c r="K131" s="15">
        <f ca="1">0.0325*K76*'TEA values'!$C$24*365*K86</f>
        <v>20409.431250000001</v>
      </c>
      <c r="L131" s="14">
        <f ca="1">0.0325*L76*'TEA values'!$C$24*365*L86</f>
        <v>47989.743750000001</v>
      </c>
      <c r="M131" s="14">
        <f ca="1">0.0325*M76*'TEA values'!$C$24*365*M86</f>
        <v>89360.212500000009</v>
      </c>
      <c r="N131" s="14">
        <f ca="1">0.0325*N76*'TEA values'!$C$24*365*N86</f>
        <v>151415.91562500002</v>
      </c>
      <c r="O131" s="14">
        <f ca="1">0.0325*O76*'TEA values'!$C$24*365*O86</f>
        <v>151415.91562500002</v>
      </c>
      <c r="P131" s="14">
        <f ca="1">0.0325*P76*'TEA values'!$C$24*365*P86</f>
        <v>244637.37187500001</v>
      </c>
      <c r="Q131" s="14">
        <f ca="1">0.0325*Q76*'TEA values'!$C$24*365*Q86</f>
        <v>361026.29062500002</v>
      </c>
      <c r="R131" s="14">
        <f ca="1">0.0325*R76*'TEA values'!$C$24*365*R86</f>
        <v>506650.34062500007</v>
      </c>
      <c r="S131" s="14">
        <f ca="1">0.0325*S76*'TEA values'!$C$24*365*S86</f>
        <v>688680.40312500007</v>
      </c>
      <c r="T131" s="14">
        <f ca="1">0.0325*T76*'TEA values'!$C$24*365*T86</f>
        <v>915942.17812500009</v>
      </c>
      <c r="U131" s="14">
        <f ca="1">0.0325*U76*'TEA values'!$C$24*365*U86</f>
        <v>1193400.1218750002</v>
      </c>
      <c r="V131" s="14">
        <f ca="1">0.0325*V76*'TEA values'!$C$24*365*V86</f>
        <v>1534844.3906250002</v>
      </c>
      <c r="W131" s="14">
        <f ca="1">0.0325*W76*'TEA values'!$C$24*365*W86</f>
        <v>1897801.3031250001</v>
      </c>
      <c r="X131" s="14">
        <f ca="1">0.0325*X76*'TEA values'!$C$24*365*X86</f>
        <v>2286132.1031250004</v>
      </c>
      <c r="Y131" s="14">
        <f ca="1">0.0325*Y76*'TEA values'!$C$24*365*Y86</f>
        <v>2696802.9562500003</v>
      </c>
      <c r="Z131" s="14">
        <f ca="1">0.0325*Z76*'TEA values'!$C$24*365*Z86</f>
        <v>3123194.5875000004</v>
      </c>
      <c r="AA131" s="14">
        <f ca="1">0.0325*AA76*'TEA values'!$C$24*365*AA86</f>
        <v>3578821.35</v>
      </c>
      <c r="AB131" s="14">
        <f ca="1">0.0325*AB76*'TEA values'!$C$24*365*AB86</f>
        <v>4062028.4250000003</v>
      </c>
      <c r="AC131" s="14">
        <f ca="1">0.0325*AC76*'TEA values'!$C$24*365*AC86</f>
        <v>4571712.6000000006</v>
      </c>
      <c r="AD131" s="14">
        <f ca="1">0.0325*AD76*'TEA values'!$C$24*365*AD86</f>
        <v>5105667.45</v>
      </c>
      <c r="AE131" s="14">
        <f ca="1">0.0325*AE76*'TEA values'!$C$24*365*AE86</f>
        <v>5658928.5187500007</v>
      </c>
    </row>
    <row r="132" spans="2:32" x14ac:dyDescent="0.25">
      <c r="C132" s="293" t="s">
        <v>347</v>
      </c>
      <c r="D132" s="335" t="s">
        <v>73</v>
      </c>
      <c r="E132" s="370">
        <f t="shared" ref="E132:AE132" ca="1" si="24">IF($D$4="Yes",SUM(E108:E109),0)+IF($E$4="Yes",SUM(E111:E113),0)+IF($F$4="Yes",SUM(E115:E116),0)+IF($G$4="Yes",SUM(E118:E119),0)+IF($H$4="Yes",SUM(E121:E123),0)+IF($I$4="Yes",SUM(E125:E127),0)+IF($J$4="Yes",SUM(E129:E131),0)</f>
        <v>0</v>
      </c>
      <c r="F132" s="341">
        <f t="shared" ca="1" si="24"/>
        <v>0</v>
      </c>
      <c r="G132" s="341">
        <f t="shared" ca="1" si="24"/>
        <v>0</v>
      </c>
      <c r="H132" s="342">
        <f t="shared" ca="1" si="24"/>
        <v>41074.818749999999</v>
      </c>
      <c r="I132" s="341">
        <f t="shared" ca="1" si="24"/>
        <v>0</v>
      </c>
      <c r="J132" s="341">
        <f t="shared" ca="1" si="24"/>
        <v>4088334.2791666668</v>
      </c>
      <c r="K132" s="381">
        <f t="shared" ca="1" si="24"/>
        <v>6722407.9805555558</v>
      </c>
      <c r="L132" s="341">
        <f t="shared" ca="1" si="24"/>
        <v>11069664.438888889</v>
      </c>
      <c r="M132" s="341">
        <f t="shared" ca="1" si="24"/>
        <v>15167151.904166669</v>
      </c>
      <c r="N132" s="341">
        <f t="shared" ca="1" si="24"/>
        <v>21815770.081249997</v>
      </c>
      <c r="O132" s="341">
        <f t="shared" ca="1" si="24"/>
        <v>30999889.558333334</v>
      </c>
      <c r="P132" s="341">
        <f t="shared" ca="1" si="24"/>
        <v>33059940.12864583</v>
      </c>
      <c r="Q132" s="341">
        <f t="shared" ca="1" si="24"/>
        <v>42130254.031640626</v>
      </c>
      <c r="R132" s="341">
        <f t="shared" ca="1" si="24"/>
        <v>54133250.978613287</v>
      </c>
      <c r="S132" s="341">
        <f t="shared" ca="1" si="24"/>
        <v>69164501.359204099</v>
      </c>
      <c r="T132" s="341">
        <f t="shared" ca="1" si="24"/>
        <v>87843438.531817615</v>
      </c>
      <c r="U132" s="341">
        <f t="shared" ca="1" si="24"/>
        <v>111191738.62414704</v>
      </c>
      <c r="V132" s="341">
        <f t="shared" ca="1" si="24"/>
        <v>128508015.54218675</v>
      </c>
      <c r="W132" s="341">
        <f t="shared" ca="1" si="24"/>
        <v>147588982.08078042</v>
      </c>
      <c r="X132" s="341">
        <f t="shared" ca="1" si="24"/>
        <v>168618081.86838976</v>
      </c>
      <c r="Y132" s="341">
        <f t="shared" ca="1" si="24"/>
        <v>178882980.44386154</v>
      </c>
      <c r="Z132" s="341">
        <f t="shared" ca="1" si="24"/>
        <v>202747170.41793522</v>
      </c>
      <c r="AA132" s="341">
        <f t="shared" ca="1" si="24"/>
        <v>228985578.64254123</v>
      </c>
      <c r="AB132" s="341">
        <f t="shared" ca="1" si="24"/>
        <v>257825171.20148289</v>
      </c>
      <c r="AC132" s="341">
        <f t="shared" ca="1" si="24"/>
        <v>289488584.5900687</v>
      </c>
      <c r="AD132" s="341">
        <f t="shared" ca="1" si="24"/>
        <v>324247817.59563804</v>
      </c>
      <c r="AE132" s="341">
        <f t="shared" ca="1" si="24"/>
        <v>362388470.72863936</v>
      </c>
    </row>
    <row r="133" spans="2:32" x14ac:dyDescent="0.25">
      <c r="C133" s="293"/>
      <c r="D133" s="335"/>
      <c r="E133" s="370"/>
      <c r="F133" s="341"/>
      <c r="G133" s="341"/>
      <c r="H133" s="342"/>
      <c r="I133" s="341"/>
      <c r="J133" s="341"/>
      <c r="K133" s="381"/>
      <c r="L133" s="341"/>
      <c r="M133" s="341"/>
      <c r="N133" s="341"/>
      <c r="O133" s="341"/>
      <c r="P133" s="341"/>
      <c r="Q133" s="341"/>
      <c r="R133" s="341"/>
      <c r="S133" s="341"/>
      <c r="T133" s="341"/>
      <c r="U133" s="341"/>
      <c r="V133" s="341"/>
      <c r="W133" s="341"/>
      <c r="X133" s="341"/>
      <c r="Y133" s="341"/>
      <c r="Z133" s="341"/>
      <c r="AA133" s="341"/>
      <c r="AB133" s="341"/>
      <c r="AC133" s="341"/>
      <c r="AD133" s="341"/>
      <c r="AE133" s="341"/>
    </row>
    <row r="134" spans="2:32" x14ac:dyDescent="0.25">
      <c r="B134" t="s">
        <v>263</v>
      </c>
      <c r="C134" s="4" t="s">
        <v>299</v>
      </c>
      <c r="D134" s="347" t="s">
        <v>19</v>
      </c>
      <c r="E134" s="373"/>
      <c r="F134" s="348"/>
      <c r="G134" s="348"/>
      <c r="H134" s="349"/>
      <c r="I134" s="349"/>
      <c r="J134" s="349"/>
      <c r="K134" s="349"/>
      <c r="L134" s="349"/>
      <c r="M134" s="349"/>
      <c r="N134" s="349"/>
      <c r="O134" s="349"/>
      <c r="P134" s="349"/>
      <c r="Q134" s="349"/>
      <c r="R134" s="349"/>
      <c r="S134" s="349"/>
      <c r="T134" s="349"/>
      <c r="U134" s="349"/>
      <c r="V134" s="349"/>
      <c r="W134" s="349"/>
      <c r="X134" s="349"/>
      <c r="Y134" s="349"/>
      <c r="Z134" s="349"/>
      <c r="AA134" s="349"/>
      <c r="AB134" s="349"/>
      <c r="AC134" s="349"/>
      <c r="AD134" s="349"/>
      <c r="AE134" s="349"/>
    </row>
    <row r="135" spans="2:32" x14ac:dyDescent="0.25">
      <c r="B135" t="s">
        <v>264</v>
      </c>
      <c r="C135" s="4" t="s">
        <v>178</v>
      </c>
      <c r="D135" s="347" t="s">
        <v>19</v>
      </c>
      <c r="E135" s="373"/>
      <c r="F135" s="348"/>
      <c r="G135" s="348"/>
      <c r="H135" s="349"/>
      <c r="I135" s="348"/>
      <c r="J135" s="348"/>
      <c r="K135" s="383"/>
      <c r="L135" s="348"/>
      <c r="M135" s="348"/>
      <c r="N135" s="348"/>
      <c r="O135" s="348"/>
      <c r="P135" s="348"/>
      <c r="Q135" s="348"/>
      <c r="R135" s="348"/>
      <c r="S135" s="348"/>
      <c r="T135" s="348"/>
      <c r="U135" s="348"/>
      <c r="V135" s="348"/>
      <c r="W135" s="348"/>
      <c r="X135" s="348"/>
      <c r="Y135" s="348"/>
      <c r="Z135" s="348"/>
      <c r="AA135" s="348"/>
      <c r="AB135" s="348"/>
      <c r="AC135" s="348"/>
      <c r="AD135" s="348"/>
      <c r="AE135" s="348"/>
      <c r="AF135" t="s">
        <v>179</v>
      </c>
    </row>
    <row r="136" spans="2:32" x14ac:dyDescent="0.25">
      <c r="B136" t="s">
        <v>282</v>
      </c>
      <c r="C136" s="4" t="s">
        <v>178</v>
      </c>
      <c r="D136" s="347" t="s">
        <v>19</v>
      </c>
      <c r="E136" s="373"/>
      <c r="F136" s="348"/>
      <c r="G136" s="348"/>
      <c r="H136" s="349"/>
      <c r="I136" s="348"/>
      <c r="J136" s="348"/>
      <c r="K136" s="383"/>
      <c r="L136" s="348"/>
      <c r="M136" s="348"/>
      <c r="N136" s="348"/>
      <c r="O136" s="348"/>
      <c r="P136" s="348"/>
      <c r="Q136" s="348"/>
      <c r="R136" s="348"/>
      <c r="S136" s="348"/>
      <c r="T136" s="348"/>
      <c r="U136" s="348"/>
      <c r="V136" s="348"/>
      <c r="W136" s="348"/>
      <c r="X136" s="348"/>
      <c r="Y136" s="348"/>
      <c r="Z136" s="348"/>
      <c r="AA136" s="348"/>
      <c r="AB136" s="348"/>
      <c r="AC136" s="348"/>
      <c r="AD136" s="348"/>
      <c r="AE136" s="348"/>
    </row>
    <row r="137" spans="2:32" x14ac:dyDescent="0.25">
      <c r="B137" t="s">
        <v>283</v>
      </c>
      <c r="C137" s="4" t="s">
        <v>178</v>
      </c>
      <c r="D137" s="347" t="s">
        <v>19</v>
      </c>
      <c r="E137" s="373"/>
      <c r="F137" s="348"/>
      <c r="G137" s="348"/>
      <c r="H137" s="349"/>
      <c r="I137" s="348"/>
      <c r="J137" s="348"/>
      <c r="K137" s="383"/>
      <c r="L137" s="348"/>
      <c r="M137" s="348"/>
      <c r="N137" s="348"/>
      <c r="O137" s="348"/>
      <c r="P137" s="348"/>
      <c r="Q137" s="348"/>
      <c r="R137" s="348"/>
      <c r="S137" s="348"/>
      <c r="T137" s="348"/>
      <c r="U137" s="348"/>
      <c r="V137" s="348"/>
      <c r="W137" s="348"/>
      <c r="X137" s="348"/>
      <c r="Y137" s="348"/>
      <c r="Z137" s="348"/>
      <c r="AA137" s="348"/>
      <c r="AB137" s="348"/>
      <c r="AC137" s="348"/>
      <c r="AD137" s="348"/>
      <c r="AE137" s="348"/>
    </row>
    <row r="138" spans="2:32" s="388" customFormat="1" x14ac:dyDescent="0.25">
      <c r="B138" s="388" t="s">
        <v>265</v>
      </c>
      <c r="C138" s="389" t="s">
        <v>178</v>
      </c>
      <c r="D138" s="390" t="s">
        <v>19</v>
      </c>
      <c r="E138" s="391"/>
      <c r="F138" s="392"/>
      <c r="G138" s="392"/>
      <c r="H138" s="393"/>
      <c r="I138" s="392"/>
      <c r="J138" s="392"/>
      <c r="K138" s="394"/>
      <c r="L138" s="392"/>
      <c r="M138" s="392"/>
      <c r="N138" s="392"/>
      <c r="O138" s="392"/>
      <c r="P138" s="392"/>
      <c r="Q138" s="392"/>
      <c r="R138" s="392"/>
      <c r="S138" s="392"/>
      <c r="T138" s="392"/>
      <c r="U138" s="392"/>
      <c r="V138" s="392"/>
      <c r="W138" s="392"/>
      <c r="X138" s="392"/>
      <c r="Y138" s="392"/>
      <c r="Z138" s="392"/>
      <c r="AA138" s="392"/>
      <c r="AB138" s="392"/>
      <c r="AC138" s="392"/>
      <c r="AD138" s="392"/>
      <c r="AE138" s="392"/>
    </row>
    <row r="139" spans="2:32" s="388" customFormat="1" x14ac:dyDescent="0.25">
      <c r="B139" s="388" t="s">
        <v>278</v>
      </c>
      <c r="C139" s="389" t="s">
        <v>178</v>
      </c>
      <c r="D139" s="390" t="s">
        <v>19</v>
      </c>
      <c r="E139" s="391"/>
      <c r="F139" s="392"/>
      <c r="G139" s="392"/>
      <c r="H139" s="393"/>
      <c r="I139" s="392"/>
      <c r="J139" s="392"/>
      <c r="K139" s="394"/>
      <c r="L139" s="392"/>
      <c r="M139" s="392"/>
      <c r="N139" s="392"/>
      <c r="O139" s="392"/>
      <c r="P139" s="392"/>
      <c r="Q139" s="392"/>
      <c r="R139" s="392"/>
      <c r="S139" s="392"/>
      <c r="T139" s="392"/>
      <c r="U139" s="392"/>
      <c r="V139" s="392"/>
      <c r="W139" s="392"/>
      <c r="X139" s="392"/>
      <c r="Y139" s="392"/>
      <c r="Z139" s="392"/>
      <c r="AA139" s="392"/>
      <c r="AB139" s="392"/>
      <c r="AC139" s="392"/>
      <c r="AD139" s="392"/>
      <c r="AE139" s="392"/>
    </row>
    <row r="140" spans="2:32" x14ac:dyDescent="0.25">
      <c r="B140" t="s">
        <v>296</v>
      </c>
      <c r="C140" s="4" t="s">
        <v>178</v>
      </c>
      <c r="D140" s="347" t="s">
        <v>19</v>
      </c>
      <c r="E140" s="373"/>
      <c r="F140" s="348"/>
      <c r="G140" s="348"/>
      <c r="H140" s="349"/>
      <c r="I140" s="348"/>
      <c r="J140" s="348"/>
      <c r="K140" s="383"/>
      <c r="L140" s="348"/>
      <c r="M140" s="348"/>
      <c r="N140" s="348"/>
      <c r="O140" s="348"/>
      <c r="P140" s="348"/>
      <c r="Q140" s="348"/>
      <c r="R140" s="348"/>
      <c r="S140" s="348"/>
      <c r="T140" s="348"/>
      <c r="U140" s="348"/>
      <c r="V140" s="348"/>
      <c r="W140" s="348"/>
      <c r="X140" s="348"/>
      <c r="Y140" s="348"/>
      <c r="Z140" s="348"/>
      <c r="AA140" s="348"/>
      <c r="AB140" s="348"/>
      <c r="AC140" s="348"/>
      <c r="AD140" s="348"/>
      <c r="AE140" s="348"/>
    </row>
    <row r="141" spans="2:32" x14ac:dyDescent="0.25">
      <c r="C141" s="157"/>
      <c r="D141" s="329"/>
      <c r="E141" s="372"/>
      <c r="F141" s="346"/>
      <c r="G141" s="346"/>
      <c r="H141" s="350"/>
      <c r="I141" s="346"/>
      <c r="J141" s="346"/>
      <c r="K141" s="382"/>
      <c r="L141" s="346"/>
      <c r="M141" s="346"/>
      <c r="N141" s="346"/>
      <c r="O141" s="346"/>
    </row>
    <row r="142" spans="2:32" x14ac:dyDescent="0.25">
      <c r="C142" s="340" t="s">
        <v>312</v>
      </c>
      <c r="D142" s="338"/>
      <c r="E142" s="369"/>
      <c r="H142" s="339"/>
      <c r="K142" s="52"/>
    </row>
    <row r="143" spans="2:32" ht="18.75" x14ac:dyDescent="0.3">
      <c r="B143" t="s">
        <v>263</v>
      </c>
      <c r="C143" s="328" t="s">
        <v>263</v>
      </c>
      <c r="D143" s="335"/>
      <c r="E143" s="362"/>
      <c r="F143" s="326"/>
      <c r="G143" s="326"/>
      <c r="H143" s="327"/>
      <c r="I143" s="326"/>
      <c r="J143" s="326"/>
      <c r="K143" s="379"/>
      <c r="L143" s="326"/>
      <c r="M143" s="326"/>
      <c r="N143" s="326"/>
      <c r="O143" s="326"/>
      <c r="P143" s="326"/>
      <c r="Q143" s="326"/>
      <c r="R143" s="326"/>
      <c r="S143" s="326"/>
      <c r="T143" s="326"/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  <c r="AF143" s="326"/>
    </row>
    <row r="144" spans="2:32" x14ac:dyDescent="0.25">
      <c r="B144" t="s">
        <v>263</v>
      </c>
      <c r="C144" s="157" t="s">
        <v>293</v>
      </c>
      <c r="D144" s="329" t="s">
        <v>73</v>
      </c>
      <c r="E144" s="365">
        <f>Cockpit!E24*Cockpit!E20</f>
        <v>0</v>
      </c>
      <c r="F144" s="14">
        <f>Cockpit!F24*Cockpit!F20</f>
        <v>0</v>
      </c>
      <c r="G144" s="14">
        <f>Cockpit!G24*Cockpit!G20</f>
        <v>0</v>
      </c>
      <c r="H144" s="332">
        <f>Cockpit!H24*Cockpit!H20</f>
        <v>1995000</v>
      </c>
      <c r="I144" s="14">
        <f>Cockpit!I24*Cockpit!I20</f>
        <v>2500575</v>
      </c>
      <c r="J144" s="14">
        <f>Cockpit!J24*Cockpit!J20</f>
        <v>0</v>
      </c>
      <c r="K144" s="15">
        <f>Cockpit!K24*Cockpit!K20</f>
        <v>0</v>
      </c>
      <c r="L144" s="14">
        <f>Cockpit!L24*Cockpit!L20</f>
        <v>0</v>
      </c>
      <c r="M144" s="14">
        <f>Cockpit!M24*Cockpit!M20</f>
        <v>0</v>
      </c>
      <c r="N144" s="14">
        <f>Cockpit!N24*Cockpit!N20</f>
        <v>0</v>
      </c>
      <c r="O144" s="14">
        <f>Cockpit!O24*Cockpit!O20</f>
        <v>0</v>
      </c>
      <c r="P144" s="14">
        <f>Cockpit!P24*Cockpit!P20</f>
        <v>0</v>
      </c>
      <c r="Q144" s="14">
        <f>Cockpit!Q24*Cockpit!Q20</f>
        <v>0</v>
      </c>
      <c r="R144" s="14">
        <f>Cockpit!R24*Cockpit!R20</f>
        <v>0</v>
      </c>
      <c r="S144" s="14">
        <f>Cockpit!S24*Cockpit!S20</f>
        <v>0</v>
      </c>
      <c r="T144" s="14">
        <f>Cockpit!T24*Cockpit!T20</f>
        <v>0</v>
      </c>
      <c r="U144" s="14">
        <f>Cockpit!U24*Cockpit!U20</f>
        <v>0</v>
      </c>
      <c r="V144" s="14">
        <f>Cockpit!V24*Cockpit!V20</f>
        <v>0</v>
      </c>
      <c r="W144" s="14">
        <f>Cockpit!W24*Cockpit!W20</f>
        <v>0</v>
      </c>
      <c r="X144" s="14">
        <f>Cockpit!X24*Cockpit!X20</f>
        <v>0</v>
      </c>
      <c r="Y144" s="14">
        <f>Cockpit!Y24*Cockpit!Y20</f>
        <v>0</v>
      </c>
      <c r="Z144" s="14">
        <f>Cockpit!Z24*Cockpit!Z20</f>
        <v>0</v>
      </c>
      <c r="AA144" s="14">
        <f>Cockpit!AA24*Cockpit!AA20</f>
        <v>0</v>
      </c>
      <c r="AB144" s="14">
        <f>Cockpit!AB24*Cockpit!AB20</f>
        <v>0</v>
      </c>
      <c r="AC144" s="14">
        <f>Cockpit!AC24*Cockpit!AC20</f>
        <v>0</v>
      </c>
      <c r="AD144" s="14">
        <f>Cockpit!AD24*Cockpit!AD20</f>
        <v>0</v>
      </c>
      <c r="AE144" s="14">
        <f>Cockpit!AE24*Cockpit!AE20</f>
        <v>0</v>
      </c>
    </row>
    <row r="145" spans="2:32" ht="18.75" x14ac:dyDescent="0.3">
      <c r="B145" t="s">
        <v>282</v>
      </c>
      <c r="C145" s="328" t="s">
        <v>282</v>
      </c>
      <c r="D145" s="335"/>
      <c r="E145" s="362"/>
      <c r="F145" s="326"/>
      <c r="G145" s="326"/>
      <c r="H145" s="327"/>
      <c r="I145" s="326"/>
      <c r="J145" s="326"/>
      <c r="K145" s="379"/>
      <c r="L145" s="326"/>
      <c r="M145" s="326"/>
      <c r="N145" s="326"/>
      <c r="O145" s="326"/>
      <c r="P145" s="326"/>
      <c r="Q145" s="326"/>
      <c r="R145" s="326"/>
      <c r="S145" s="326"/>
      <c r="T145" s="326"/>
      <c r="U145" s="326"/>
      <c r="V145" s="326"/>
      <c r="W145" s="326"/>
      <c r="X145" s="326"/>
      <c r="Y145" s="326"/>
      <c r="Z145" s="326"/>
      <c r="AA145" s="326"/>
      <c r="AB145" s="326"/>
      <c r="AC145" s="326"/>
      <c r="AD145" s="326"/>
      <c r="AE145" s="326"/>
      <c r="AF145" s="326"/>
    </row>
    <row r="146" spans="2:32" x14ac:dyDescent="0.25">
      <c r="B146" t="s">
        <v>282</v>
      </c>
      <c r="C146" s="157" t="s">
        <v>293</v>
      </c>
      <c r="D146" s="329" t="s">
        <v>73</v>
      </c>
      <c r="E146" s="371">
        <f>E36*E39</f>
        <v>0</v>
      </c>
      <c r="F146" s="371">
        <f t="shared" ref="F146:AE146" si="25">F36*F39</f>
        <v>0</v>
      </c>
      <c r="G146" s="371">
        <f t="shared" si="25"/>
        <v>0</v>
      </c>
      <c r="H146" s="371">
        <f t="shared" si="25"/>
        <v>0</v>
      </c>
      <c r="I146" s="371">
        <f t="shared" si="25"/>
        <v>0</v>
      </c>
      <c r="J146" s="371">
        <f t="shared" si="25"/>
        <v>0</v>
      </c>
      <c r="K146" s="371">
        <f t="shared" si="25"/>
        <v>0</v>
      </c>
      <c r="L146" s="371">
        <f t="shared" si="25"/>
        <v>0</v>
      </c>
      <c r="M146" s="371">
        <f t="shared" si="25"/>
        <v>0</v>
      </c>
      <c r="N146" s="371">
        <f t="shared" si="25"/>
        <v>0</v>
      </c>
      <c r="O146" s="371">
        <f t="shared" si="25"/>
        <v>0</v>
      </c>
      <c r="P146" s="371">
        <f t="shared" si="25"/>
        <v>0</v>
      </c>
      <c r="Q146" s="371">
        <f t="shared" si="25"/>
        <v>0</v>
      </c>
      <c r="R146" s="371">
        <f t="shared" si="25"/>
        <v>0</v>
      </c>
      <c r="S146" s="371">
        <f t="shared" si="25"/>
        <v>0</v>
      </c>
      <c r="T146" s="371">
        <f t="shared" si="25"/>
        <v>0</v>
      </c>
      <c r="U146" s="371">
        <f t="shared" si="25"/>
        <v>0</v>
      </c>
      <c r="V146" s="371">
        <f t="shared" si="25"/>
        <v>0</v>
      </c>
      <c r="W146" s="371">
        <f t="shared" si="25"/>
        <v>0</v>
      </c>
      <c r="X146" s="371">
        <f t="shared" si="25"/>
        <v>0</v>
      </c>
      <c r="Y146" s="371">
        <f t="shared" si="25"/>
        <v>0</v>
      </c>
      <c r="Z146" s="371">
        <f t="shared" si="25"/>
        <v>0</v>
      </c>
      <c r="AA146" s="371">
        <f t="shared" si="25"/>
        <v>0</v>
      </c>
      <c r="AB146" s="371">
        <f t="shared" si="25"/>
        <v>0</v>
      </c>
      <c r="AC146" s="371">
        <f t="shared" si="25"/>
        <v>0</v>
      </c>
      <c r="AD146" s="371">
        <f t="shared" si="25"/>
        <v>0</v>
      </c>
      <c r="AE146" s="371">
        <f t="shared" si="25"/>
        <v>0</v>
      </c>
    </row>
    <row r="147" spans="2:32" ht="18.75" x14ac:dyDescent="0.3">
      <c r="B147" t="s">
        <v>283</v>
      </c>
      <c r="C147" s="328" t="s">
        <v>283</v>
      </c>
      <c r="D147" s="335"/>
      <c r="E147" s="362"/>
      <c r="F147" s="326"/>
      <c r="G147" s="326"/>
      <c r="H147" s="327"/>
      <c r="I147" s="326"/>
      <c r="J147" s="326"/>
      <c r="K147" s="379"/>
      <c r="L147" s="326"/>
      <c r="M147" s="326"/>
      <c r="N147" s="326"/>
      <c r="O147" s="326"/>
      <c r="P147" s="326"/>
      <c r="Q147" s="326"/>
      <c r="R147" s="326"/>
      <c r="S147" s="326"/>
      <c r="T147" s="326"/>
      <c r="U147" s="326"/>
      <c r="V147" s="326"/>
      <c r="W147" s="326"/>
      <c r="X147" s="326"/>
      <c r="Y147" s="326"/>
      <c r="Z147" s="326"/>
      <c r="AA147" s="326"/>
      <c r="AB147" s="326"/>
      <c r="AC147" s="326"/>
      <c r="AD147" s="326"/>
      <c r="AE147" s="326"/>
      <c r="AF147" s="326"/>
    </row>
    <row r="148" spans="2:32" x14ac:dyDescent="0.25">
      <c r="B148" t="s">
        <v>283</v>
      </c>
      <c r="C148" s="157" t="s">
        <v>293</v>
      </c>
      <c r="D148" s="329" t="s">
        <v>73</v>
      </c>
      <c r="E148" s="365">
        <f t="shared" ref="E148:AE148" si="26">E24*E44</f>
        <v>0</v>
      </c>
      <c r="F148" s="14">
        <f t="shared" si="26"/>
        <v>0</v>
      </c>
      <c r="G148" s="14">
        <f t="shared" si="26"/>
        <v>0</v>
      </c>
      <c r="H148" s="332">
        <f t="shared" si="26"/>
        <v>0</v>
      </c>
      <c r="I148" s="14">
        <f t="shared" si="26"/>
        <v>0</v>
      </c>
      <c r="J148" s="14">
        <f t="shared" si="26"/>
        <v>3416400</v>
      </c>
      <c r="K148" s="15">
        <f t="shared" si="26"/>
        <v>5475000</v>
      </c>
      <c r="L148" s="14">
        <f t="shared" si="26"/>
        <v>8760000</v>
      </c>
      <c r="M148" s="14">
        <f t="shared" si="26"/>
        <v>11497500.000000002</v>
      </c>
      <c r="N148" s="14">
        <f t="shared" si="26"/>
        <v>16014375</v>
      </c>
      <c r="O148" s="14">
        <f t="shared" si="26"/>
        <v>22206600</v>
      </c>
      <c r="P148" s="14">
        <f t="shared" si="26"/>
        <v>20794050</v>
      </c>
      <c r="Q148" s="14">
        <f t="shared" si="26"/>
        <v>26017200</v>
      </c>
      <c r="R148" s="14">
        <f t="shared" si="26"/>
        <v>32521500</v>
      </c>
      <c r="S148" s="14">
        <f t="shared" si="26"/>
        <v>40602600</v>
      </c>
      <c r="T148" s="14">
        <f t="shared" si="26"/>
        <v>50753250</v>
      </c>
      <c r="U148" s="14">
        <f t="shared" si="26"/>
        <v>63466200</v>
      </c>
      <c r="V148" s="14">
        <f t="shared" si="26"/>
        <v>69773400</v>
      </c>
      <c r="W148" s="14">
        <f t="shared" si="26"/>
        <v>76770450</v>
      </c>
      <c r="X148" s="14">
        <f t="shared" si="26"/>
        <v>84457350</v>
      </c>
      <c r="Y148" s="14">
        <f t="shared" si="26"/>
        <v>92834100</v>
      </c>
      <c r="Z148" s="14">
        <f t="shared" si="26"/>
        <v>102196350</v>
      </c>
      <c r="AA148" s="14">
        <f t="shared" si="26"/>
        <v>112347000</v>
      </c>
      <c r="AB148" s="14">
        <f t="shared" si="26"/>
        <v>123581700</v>
      </c>
      <c r="AC148" s="14">
        <f t="shared" si="26"/>
        <v>135999000</v>
      </c>
      <c r="AD148" s="14">
        <f t="shared" si="26"/>
        <v>149598900</v>
      </c>
      <c r="AE148" s="14">
        <f t="shared" si="26"/>
        <v>164578500</v>
      </c>
    </row>
    <row r="149" spans="2:32" ht="18.75" x14ac:dyDescent="0.3">
      <c r="B149" t="s">
        <v>265</v>
      </c>
      <c r="C149" s="328" t="s">
        <v>265</v>
      </c>
      <c r="D149" s="335"/>
      <c r="E149" s="362"/>
      <c r="F149" s="326"/>
      <c r="G149" s="326"/>
      <c r="H149" s="327"/>
      <c r="I149" s="326"/>
      <c r="J149" s="326"/>
      <c r="K149" s="379"/>
      <c r="L149" s="326"/>
      <c r="M149" s="326"/>
      <c r="N149" s="326"/>
      <c r="O149" s="326"/>
      <c r="P149" s="326"/>
      <c r="Q149" s="326"/>
      <c r="R149" s="326"/>
      <c r="S149" s="326"/>
      <c r="T149" s="326"/>
      <c r="U149" s="326"/>
      <c r="V149" s="326"/>
      <c r="W149" s="326"/>
      <c r="X149" s="326"/>
      <c r="Y149" s="326"/>
      <c r="Z149" s="326"/>
      <c r="AA149" s="326"/>
      <c r="AB149" s="326"/>
      <c r="AC149" s="326"/>
      <c r="AD149" s="326"/>
      <c r="AE149" s="326"/>
      <c r="AF149" s="326"/>
    </row>
    <row r="150" spans="2:32" x14ac:dyDescent="0.25">
      <c r="B150" t="s">
        <v>265</v>
      </c>
      <c r="C150" s="157" t="s">
        <v>293</v>
      </c>
      <c r="D150" s="329" t="s">
        <v>73</v>
      </c>
      <c r="E150" s="365">
        <f>E24*E53</f>
        <v>0</v>
      </c>
      <c r="F150" s="14">
        <f t="shared" ref="F150:AE150" si="27">F92*F53</f>
        <v>0</v>
      </c>
      <c r="G150" s="14">
        <f t="shared" si="27"/>
        <v>0</v>
      </c>
      <c r="H150" s="332">
        <f t="shared" si="27"/>
        <v>0</v>
      </c>
      <c r="I150" s="14">
        <f t="shared" si="27"/>
        <v>0</v>
      </c>
      <c r="J150" s="14">
        <f t="shared" si="27"/>
        <v>0</v>
      </c>
      <c r="K150" s="15">
        <f t="shared" si="27"/>
        <v>0</v>
      </c>
      <c r="L150" s="14">
        <f t="shared" si="27"/>
        <v>0</v>
      </c>
      <c r="M150" s="14">
        <f t="shared" si="27"/>
        <v>0</v>
      </c>
      <c r="N150" s="14">
        <f t="shared" si="27"/>
        <v>0</v>
      </c>
      <c r="O150" s="14">
        <f t="shared" si="27"/>
        <v>0</v>
      </c>
      <c r="P150" s="14">
        <f t="shared" si="27"/>
        <v>0</v>
      </c>
      <c r="Q150" s="14">
        <f t="shared" si="27"/>
        <v>0</v>
      </c>
      <c r="R150" s="14">
        <f t="shared" si="27"/>
        <v>0</v>
      </c>
      <c r="S150" s="14">
        <f t="shared" si="27"/>
        <v>0</v>
      </c>
      <c r="T150" s="14">
        <f t="shared" si="27"/>
        <v>0</v>
      </c>
      <c r="U150" s="14">
        <f t="shared" si="27"/>
        <v>0</v>
      </c>
      <c r="V150" s="14">
        <f t="shared" si="27"/>
        <v>0</v>
      </c>
      <c r="W150" s="14">
        <f t="shared" si="27"/>
        <v>0</v>
      </c>
      <c r="X150" s="14">
        <f t="shared" si="27"/>
        <v>0</v>
      </c>
      <c r="Y150" s="14">
        <f t="shared" si="27"/>
        <v>0</v>
      </c>
      <c r="Z150" s="14">
        <f t="shared" si="27"/>
        <v>0</v>
      </c>
      <c r="AA150" s="14">
        <f t="shared" si="27"/>
        <v>0</v>
      </c>
      <c r="AB150" s="14">
        <f t="shared" si="27"/>
        <v>0</v>
      </c>
      <c r="AC150" s="14">
        <f t="shared" si="27"/>
        <v>0</v>
      </c>
      <c r="AD150" s="14">
        <f t="shared" si="27"/>
        <v>0</v>
      </c>
      <c r="AE150" s="14">
        <f t="shared" si="27"/>
        <v>0</v>
      </c>
    </row>
    <row r="151" spans="2:32" ht="18.75" x14ac:dyDescent="0.3">
      <c r="B151" t="s">
        <v>278</v>
      </c>
      <c r="C151" s="328" t="s">
        <v>278</v>
      </c>
      <c r="D151" s="335"/>
      <c r="E151" s="362"/>
      <c r="F151" s="326"/>
      <c r="G151" s="326"/>
      <c r="H151" s="327"/>
      <c r="I151" s="326"/>
      <c r="J151" s="326"/>
      <c r="K151" s="379"/>
      <c r="L151" s="326"/>
      <c r="M151" s="326"/>
      <c r="N151" s="326"/>
      <c r="O151" s="326"/>
      <c r="P151" s="326"/>
      <c r="Q151" s="326"/>
      <c r="R151" s="326"/>
      <c r="S151" s="326"/>
      <c r="T151" s="326"/>
      <c r="U151" s="326"/>
      <c r="V151" s="326"/>
      <c r="W151" s="326"/>
      <c r="X151" s="326"/>
      <c r="Y151" s="326"/>
      <c r="Z151" s="326"/>
      <c r="AA151" s="326"/>
      <c r="AB151" s="326"/>
      <c r="AC151" s="326"/>
      <c r="AD151" s="326"/>
      <c r="AE151" s="326"/>
      <c r="AF151" s="326"/>
    </row>
    <row r="152" spans="2:32" x14ac:dyDescent="0.25">
      <c r="B152" t="s">
        <v>278</v>
      </c>
      <c r="C152" s="157" t="s">
        <v>293</v>
      </c>
      <c r="D152" s="329" t="s">
        <v>73</v>
      </c>
      <c r="E152" s="371">
        <f t="shared" ref="E152:AE152" si="28">E24*E63</f>
        <v>0</v>
      </c>
      <c r="F152" s="12">
        <f t="shared" si="28"/>
        <v>0</v>
      </c>
      <c r="G152" s="12">
        <f t="shared" si="28"/>
        <v>0</v>
      </c>
      <c r="H152" s="344">
        <f t="shared" si="28"/>
        <v>0</v>
      </c>
      <c r="I152" s="12">
        <f t="shared" si="28"/>
        <v>0</v>
      </c>
      <c r="J152" s="12">
        <f t="shared" si="28"/>
        <v>0</v>
      </c>
      <c r="K152" s="13">
        <f t="shared" si="28"/>
        <v>0</v>
      </c>
      <c r="L152" s="12">
        <f t="shared" si="28"/>
        <v>0</v>
      </c>
      <c r="M152" s="12">
        <f t="shared" si="28"/>
        <v>0</v>
      </c>
      <c r="N152" s="12">
        <f t="shared" si="28"/>
        <v>0</v>
      </c>
      <c r="O152" s="12">
        <f t="shared" si="28"/>
        <v>0</v>
      </c>
      <c r="P152" s="12">
        <f t="shared" si="28"/>
        <v>0</v>
      </c>
      <c r="Q152" s="12">
        <f t="shared" si="28"/>
        <v>0</v>
      </c>
      <c r="R152" s="12">
        <f t="shared" si="28"/>
        <v>0</v>
      </c>
      <c r="S152" s="12">
        <f t="shared" si="28"/>
        <v>0</v>
      </c>
      <c r="T152" s="12">
        <f t="shared" si="28"/>
        <v>0</v>
      </c>
      <c r="U152" s="12">
        <f t="shared" si="28"/>
        <v>0</v>
      </c>
      <c r="V152" s="12">
        <f t="shared" si="28"/>
        <v>0</v>
      </c>
      <c r="W152" s="12">
        <f t="shared" si="28"/>
        <v>0</v>
      </c>
      <c r="X152" s="12">
        <f t="shared" si="28"/>
        <v>0</v>
      </c>
      <c r="Y152" s="12">
        <f t="shared" si="28"/>
        <v>0</v>
      </c>
      <c r="Z152" s="12">
        <f t="shared" si="28"/>
        <v>0</v>
      </c>
      <c r="AA152" s="12">
        <f t="shared" si="28"/>
        <v>0</v>
      </c>
      <c r="AB152" s="12">
        <f t="shared" si="28"/>
        <v>0</v>
      </c>
      <c r="AC152" s="12">
        <f t="shared" si="28"/>
        <v>0</v>
      </c>
      <c r="AD152" s="12">
        <f t="shared" si="28"/>
        <v>0</v>
      </c>
      <c r="AE152" s="12">
        <f t="shared" si="28"/>
        <v>0</v>
      </c>
    </row>
    <row r="153" spans="2:32" ht="18.75" x14ac:dyDescent="0.3">
      <c r="B153" t="s">
        <v>296</v>
      </c>
      <c r="C153" s="328" t="s">
        <v>296</v>
      </c>
      <c r="D153" s="335"/>
      <c r="E153" s="362"/>
      <c r="F153" s="326"/>
      <c r="G153" s="326"/>
      <c r="H153" s="327"/>
      <c r="I153" s="326"/>
      <c r="J153" s="326"/>
      <c r="K153" s="379"/>
      <c r="L153" s="326"/>
      <c r="M153" s="326"/>
      <c r="N153" s="326"/>
      <c r="O153" s="326"/>
      <c r="P153" s="326"/>
      <c r="Q153" s="326"/>
      <c r="R153" s="326"/>
      <c r="S153" s="326"/>
      <c r="T153" s="326"/>
      <c r="U153" s="326"/>
      <c r="V153" s="326"/>
      <c r="W153" s="326"/>
      <c r="X153" s="326"/>
      <c r="Y153" s="326"/>
      <c r="Z153" s="326"/>
      <c r="AA153" s="326"/>
      <c r="AB153" s="326"/>
      <c r="AC153" s="326"/>
      <c r="AD153" s="326"/>
      <c r="AE153" s="326"/>
      <c r="AF153" s="326"/>
    </row>
    <row r="154" spans="2:32" x14ac:dyDescent="0.25">
      <c r="B154" t="s">
        <v>296</v>
      </c>
      <c r="C154" s="157" t="s">
        <v>293</v>
      </c>
      <c r="D154" s="329" t="s">
        <v>73</v>
      </c>
      <c r="E154" s="371">
        <f t="shared" ref="E154:AE154" si="29">E72*E24</f>
        <v>0</v>
      </c>
      <c r="F154" s="12">
        <f t="shared" si="29"/>
        <v>0</v>
      </c>
      <c r="G154" s="12">
        <f t="shared" si="29"/>
        <v>0</v>
      </c>
      <c r="H154" s="344">
        <f t="shared" si="29"/>
        <v>0</v>
      </c>
      <c r="I154" s="12">
        <f t="shared" si="29"/>
        <v>0</v>
      </c>
      <c r="J154" s="12">
        <f t="shared" si="29"/>
        <v>3416400</v>
      </c>
      <c r="K154" s="13">
        <f t="shared" si="29"/>
        <v>5475000</v>
      </c>
      <c r="L154" s="12">
        <f t="shared" si="29"/>
        <v>8760000</v>
      </c>
      <c r="M154" s="12">
        <f t="shared" si="29"/>
        <v>11497500.000000002</v>
      </c>
      <c r="N154" s="12">
        <f t="shared" si="29"/>
        <v>16014375</v>
      </c>
      <c r="O154" s="12">
        <f t="shared" si="29"/>
        <v>22206600</v>
      </c>
      <c r="P154" s="12">
        <f t="shared" si="29"/>
        <v>20794050</v>
      </c>
      <c r="Q154" s="12">
        <f t="shared" si="29"/>
        <v>26017200</v>
      </c>
      <c r="R154" s="12">
        <f t="shared" si="29"/>
        <v>32521500</v>
      </c>
      <c r="S154" s="12">
        <f t="shared" si="29"/>
        <v>40602600</v>
      </c>
      <c r="T154" s="12">
        <f t="shared" si="29"/>
        <v>50753250</v>
      </c>
      <c r="U154" s="12">
        <f t="shared" si="29"/>
        <v>63466200</v>
      </c>
      <c r="V154" s="12">
        <f t="shared" si="29"/>
        <v>69773400</v>
      </c>
      <c r="W154" s="12">
        <f t="shared" si="29"/>
        <v>76770450</v>
      </c>
      <c r="X154" s="12">
        <f t="shared" si="29"/>
        <v>84457350</v>
      </c>
      <c r="Y154" s="12">
        <f t="shared" si="29"/>
        <v>92834100</v>
      </c>
      <c r="Z154" s="12">
        <f t="shared" si="29"/>
        <v>102196350</v>
      </c>
      <c r="AA154" s="12">
        <f t="shared" si="29"/>
        <v>112347000</v>
      </c>
      <c r="AB154" s="12">
        <f t="shared" si="29"/>
        <v>123581700</v>
      </c>
      <c r="AC154" s="12">
        <f t="shared" si="29"/>
        <v>135999000</v>
      </c>
      <c r="AD154" s="12">
        <f t="shared" si="29"/>
        <v>149598900</v>
      </c>
      <c r="AE154" s="12">
        <f t="shared" si="29"/>
        <v>164578500</v>
      </c>
    </row>
    <row r="155" spans="2:32" x14ac:dyDescent="0.25">
      <c r="C155" s="293" t="s">
        <v>344</v>
      </c>
      <c r="D155" s="335" t="s">
        <v>73</v>
      </c>
      <c r="E155" s="370">
        <f t="shared" ref="E155:AE155" si="30">IF($D$4="Yes",SUM(E144),0)+IF($F$4="Yes",SUM(E146),0)+IF($G$4="Yes",SUM(E148),0)+IF($H$4="Yes",SUM(E150),0)+IF($I$4="Yes",SUM(E152),0)+IF($J$4="Yes",SUM(E154),0)</f>
        <v>0</v>
      </c>
      <c r="F155" s="341">
        <f t="shared" si="30"/>
        <v>0</v>
      </c>
      <c r="G155" s="341">
        <f t="shared" si="30"/>
        <v>0</v>
      </c>
      <c r="H155" s="342">
        <f t="shared" si="30"/>
        <v>1995000</v>
      </c>
      <c r="I155" s="341">
        <f t="shared" si="30"/>
        <v>2500575</v>
      </c>
      <c r="J155" s="341">
        <f t="shared" si="30"/>
        <v>6832800</v>
      </c>
      <c r="K155" s="381">
        <f t="shared" si="30"/>
        <v>10950000</v>
      </c>
      <c r="L155" s="341">
        <f t="shared" si="30"/>
        <v>17520000</v>
      </c>
      <c r="M155" s="341">
        <f t="shared" si="30"/>
        <v>22995000.000000004</v>
      </c>
      <c r="N155" s="341">
        <f t="shared" si="30"/>
        <v>32028750</v>
      </c>
      <c r="O155" s="341">
        <f t="shared" si="30"/>
        <v>44413200</v>
      </c>
      <c r="P155" s="341">
        <f t="shared" si="30"/>
        <v>41588100</v>
      </c>
      <c r="Q155" s="341">
        <f t="shared" si="30"/>
        <v>52034400</v>
      </c>
      <c r="R155" s="341">
        <f t="shared" si="30"/>
        <v>65043000</v>
      </c>
      <c r="S155" s="341">
        <f t="shared" si="30"/>
        <v>81205200</v>
      </c>
      <c r="T155" s="341">
        <f t="shared" si="30"/>
        <v>101506500</v>
      </c>
      <c r="U155" s="341">
        <f t="shared" si="30"/>
        <v>126932400</v>
      </c>
      <c r="V155" s="341">
        <f t="shared" si="30"/>
        <v>139546800</v>
      </c>
      <c r="W155" s="341">
        <f t="shared" si="30"/>
        <v>153540900</v>
      </c>
      <c r="X155" s="341">
        <f t="shared" si="30"/>
        <v>168914700</v>
      </c>
      <c r="Y155" s="341">
        <f t="shared" si="30"/>
        <v>185668200</v>
      </c>
      <c r="Z155" s="341">
        <f t="shared" si="30"/>
        <v>204392700</v>
      </c>
      <c r="AA155" s="341">
        <f t="shared" si="30"/>
        <v>224694000</v>
      </c>
      <c r="AB155" s="341">
        <f t="shared" si="30"/>
        <v>247163400</v>
      </c>
      <c r="AC155" s="341">
        <f t="shared" si="30"/>
        <v>271998000</v>
      </c>
      <c r="AD155" s="341">
        <f t="shared" si="30"/>
        <v>299197800</v>
      </c>
      <c r="AE155" s="341">
        <f t="shared" si="30"/>
        <v>329157000</v>
      </c>
    </row>
    <row r="156" spans="2:32" x14ac:dyDescent="0.25">
      <c r="C156" s="293"/>
      <c r="D156" s="335"/>
      <c r="E156" s="370"/>
      <c r="F156" s="341"/>
      <c r="G156" s="341"/>
      <c r="H156" s="342"/>
      <c r="I156" s="341"/>
      <c r="J156" s="341"/>
      <c r="K156" s="38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341"/>
      <c r="X156" s="341"/>
      <c r="Y156" s="341"/>
      <c r="Z156" s="341"/>
      <c r="AA156" s="341"/>
      <c r="AB156" s="341"/>
      <c r="AC156" s="341"/>
      <c r="AD156" s="341"/>
      <c r="AE156" s="341"/>
    </row>
    <row r="157" spans="2:32" x14ac:dyDescent="0.25">
      <c r="C157" s="340" t="s">
        <v>200</v>
      </c>
      <c r="D157" s="338"/>
      <c r="E157" s="370"/>
      <c r="F157" s="341"/>
      <c r="G157" s="341"/>
      <c r="H157" s="342"/>
      <c r="I157" s="341"/>
      <c r="J157" s="341"/>
      <c r="K157" s="38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341"/>
      <c r="X157" s="341"/>
      <c r="Y157" s="341"/>
      <c r="Z157" s="341"/>
      <c r="AA157" s="341"/>
      <c r="AB157" s="341"/>
      <c r="AC157" s="341"/>
      <c r="AD157" s="341"/>
      <c r="AE157" s="341"/>
    </row>
    <row r="158" spans="2:32" ht="18.75" x14ac:dyDescent="0.3">
      <c r="B158" t="s">
        <v>263</v>
      </c>
      <c r="C158" s="328" t="s">
        <v>263</v>
      </c>
      <c r="D158" s="335"/>
      <c r="E158" s="370"/>
      <c r="F158" s="341"/>
      <c r="G158" s="341"/>
      <c r="H158" s="342"/>
      <c r="I158" s="341"/>
      <c r="J158" s="341"/>
      <c r="K158" s="38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341"/>
      <c r="X158" s="341"/>
      <c r="Y158" s="341"/>
      <c r="Z158" s="341"/>
      <c r="AA158" s="341"/>
      <c r="AB158" s="341"/>
      <c r="AC158" s="341"/>
      <c r="AD158" s="341"/>
      <c r="AE158" s="341"/>
    </row>
    <row r="159" spans="2:32" x14ac:dyDescent="0.25">
      <c r="B159" t="s">
        <v>263</v>
      </c>
      <c r="C159" s="157" t="s">
        <v>200</v>
      </c>
      <c r="D159" s="329" t="s">
        <v>342</v>
      </c>
      <c r="E159" s="372">
        <f>IFERROR(E$144/D25,0)</f>
        <v>0</v>
      </c>
      <c r="F159" s="350">
        <f>IF(SUM($E144:E144)&gt;SUM($E159:E159),SUM($E144:E144)/E25,0)</f>
        <v>0</v>
      </c>
      <c r="G159" s="350">
        <f>IF(SUM($E144:F144)&gt;SUM($E159:F159),SUM($E144:F144)/F25,0)</f>
        <v>0</v>
      </c>
      <c r="H159" s="350">
        <f>IF(SUM($E144:G144)&gt;SUM($E159:G159),SUM($E144:G144)/G25,0)</f>
        <v>0</v>
      </c>
      <c r="I159" s="350">
        <f>IF(SUM($E144:H144)&gt;SUM($E159:H159),SUM($E144:H144)/H25,0)</f>
        <v>99750</v>
      </c>
      <c r="J159" s="350">
        <f>IF(SUM($E144:I144)&gt;SUM($E159:I159),SUM($E144:I144)/I25,0)</f>
        <v>224778.75</v>
      </c>
      <c r="K159" s="350">
        <f>IF(SUM($E144:J144)&gt;SUM($E159:J159),SUM($E144:J144)/J25,0)</f>
        <v>224778.75</v>
      </c>
      <c r="L159" s="350">
        <f>IF(SUM($E144:K144)&gt;SUM($E159:K159),SUM($E144:K144)/K25,0)</f>
        <v>224778.75</v>
      </c>
      <c r="M159" s="350">
        <f>IF(SUM($E144:L144)&gt;SUM($E159:L159),SUM($E144:L144)/L25,0)</f>
        <v>224778.75</v>
      </c>
      <c r="N159" s="350">
        <f>IF(SUM($E144:M144)&gt;SUM($E159:M159),SUM($E144:M144)/M25,0)</f>
        <v>224778.75</v>
      </c>
      <c r="O159" s="350">
        <f>IF(SUM($E144:N144)&gt;SUM($E159:N159),SUM($E144:N144)/N25,0)</f>
        <v>224778.75</v>
      </c>
      <c r="P159" s="350">
        <f>IF(SUM($E144:O144)&gt;SUM($E159:O159),SUM($E144:O144)/O25,0)</f>
        <v>224778.75</v>
      </c>
      <c r="Q159" s="350">
        <f>IF(SUM($E144:P144)&gt;SUM($E159:P159),SUM($E144:P144)/P25,0)</f>
        <v>224778.75</v>
      </c>
      <c r="R159" s="350">
        <f>IF(SUM($E144:Q144)&gt;SUM($E159:Q159),SUM($E144:Q144)/Q25,0)</f>
        <v>224778.75</v>
      </c>
      <c r="S159" s="350">
        <f>IF(SUM($E144:R144)&gt;SUM($E159:R159),SUM($E144:R144)/R25,0)</f>
        <v>224778.75</v>
      </c>
      <c r="T159" s="350">
        <f>IF(SUM($E144:S144)&gt;SUM($E159:S159),SUM($E144:S144)/S25,0)</f>
        <v>224778.75</v>
      </c>
      <c r="U159" s="350">
        <f>IF(SUM($E144:T144)&gt;SUM($E159:T159),SUM($E144:T144)/T25,0)</f>
        <v>224778.75</v>
      </c>
      <c r="V159" s="350">
        <f>IF(SUM($E144:U144)&gt;SUM($E159:U159),SUM($E144:U144)/U25,0)</f>
        <v>224778.75</v>
      </c>
      <c r="W159" s="350">
        <f>IF(SUM($E144:V144)&gt;SUM($E159:V159),SUM($E144:V144)/V25,0)</f>
        <v>224778.75</v>
      </c>
      <c r="X159" s="350">
        <f>IF(SUM($E144:W144)&gt;SUM($E159:W159),SUM($E144:W144)/W25,0)</f>
        <v>224778.75</v>
      </c>
      <c r="Y159" s="350">
        <f>IF(SUM($E144:X144)&gt;SUM($E159:X159),SUM($E144:X144)/X25,0)</f>
        <v>224778.75</v>
      </c>
      <c r="Z159" s="350">
        <f>IF(SUM($E144:Y144)&gt;SUM($E159:Y159),SUM($E144:Y144)/Y25,0)</f>
        <v>224778.75</v>
      </c>
      <c r="AA159" s="350">
        <f>IF(SUM($E144:Z144)&gt;SUM($E159:Z159),SUM($E144:Z144)/Z25,0)</f>
        <v>224778.75</v>
      </c>
      <c r="AB159" s="350">
        <f>IF(SUM($E144:AA144)&gt;SUM($E159:AA159),SUM($E144:AA144)/AA25,0)</f>
        <v>224778.75</v>
      </c>
      <c r="AC159" s="350">
        <f>IF(SUM($E144:AB144)&gt;SUM($E159:AB159),SUM($E144:AB144)/AB25,0)</f>
        <v>224778.75</v>
      </c>
      <c r="AD159" s="350">
        <f>IF(SUM($E144:AC144)&gt;SUM($E159:AC159),SUM($E144:AC144)/AC25,0)</f>
        <v>0</v>
      </c>
      <c r="AE159" s="350">
        <f>IF(SUM($E144:AD144)&gt;SUM($E159:AD159),SUM($E144:AD144)/AD25,0)</f>
        <v>0</v>
      </c>
    </row>
    <row r="160" spans="2:32" ht="18.75" x14ac:dyDescent="0.3">
      <c r="B160" t="s">
        <v>282</v>
      </c>
      <c r="C160" s="328" t="s">
        <v>282</v>
      </c>
      <c r="D160" s="335"/>
      <c r="E160" s="370"/>
      <c r="F160" s="341"/>
      <c r="G160" s="341"/>
      <c r="H160" s="342"/>
      <c r="I160" s="341"/>
      <c r="J160" s="341"/>
      <c r="K160" s="381"/>
      <c r="L160" s="341"/>
      <c r="M160" s="341"/>
      <c r="N160" s="341"/>
      <c r="O160" s="341"/>
      <c r="P160" s="341"/>
      <c r="Q160" s="341"/>
      <c r="R160" s="341"/>
      <c r="S160" s="341"/>
      <c r="T160" s="341"/>
      <c r="U160" s="341"/>
      <c r="V160" s="341"/>
      <c r="W160" s="341"/>
      <c r="X160" s="341"/>
      <c r="Y160" s="341"/>
      <c r="Z160" s="341"/>
      <c r="AA160" s="341"/>
      <c r="AB160" s="341"/>
      <c r="AC160" s="341"/>
      <c r="AD160" s="341"/>
      <c r="AE160" s="341"/>
    </row>
    <row r="161" spans="2:32" x14ac:dyDescent="0.25">
      <c r="B161" t="s">
        <v>282</v>
      </c>
      <c r="C161" s="157" t="s">
        <v>200</v>
      </c>
      <c r="D161" s="329" t="s">
        <v>342</v>
      </c>
      <c r="E161" s="365">
        <f>IFERROR(E146/D40,0)</f>
        <v>0</v>
      </c>
      <c r="F161" s="14">
        <f>IF(SUM($E146:E146)&gt;SUM($E161:E161),SUM($E146:E146)/E40,0)</f>
        <v>0</v>
      </c>
      <c r="G161" s="14">
        <f>IF(SUM($E146:F146)&gt;SUM($E161:F161),SUM($E146:F146)/F40,0)</f>
        <v>0</v>
      </c>
      <c r="H161" s="14">
        <f>IF(SUM($E146:G146)&gt;SUM($E161:G161),SUM($E146:G146)/G40,0)</f>
        <v>0</v>
      </c>
      <c r="I161" s="14">
        <f>IF(SUM($E146:H146)&gt;SUM($E161:H161),SUM($E146:H146)/H40,0)</f>
        <v>0</v>
      </c>
      <c r="J161" s="14">
        <f>IF(SUM($E146:I146)&gt;SUM($E161:I161),SUM($E146:I146)/I40,0)</f>
        <v>0</v>
      </c>
      <c r="K161" s="14">
        <f>IF(SUM($E146:J146)&gt;SUM($E161:J161),SUM($E146:J146)/J40,0)</f>
        <v>0</v>
      </c>
      <c r="L161" s="14">
        <f>IF(SUM($E146:K146)&gt;SUM($E161:K161),SUM($E146:K146)/K40,0)</f>
        <v>0</v>
      </c>
      <c r="M161" s="14">
        <f>IF(SUM($E146:L146)&gt;SUM($E161:L161),SUM($E146:L146)/L40,0)</f>
        <v>0</v>
      </c>
      <c r="N161" s="14">
        <f>IF(SUM($E146:M146)&gt;SUM($E161:M161),SUM($E146:M146)/M40,0)</f>
        <v>0</v>
      </c>
      <c r="O161" s="14">
        <f>IF(SUM($E146:N146)&gt;SUM($E161:N161),SUM($E146:N146)/N40,0)</f>
        <v>0</v>
      </c>
      <c r="P161" s="14">
        <f>IF(SUM($E146:O146)&gt;SUM($E161:O161),SUM($E146:O146)/O40,0)</f>
        <v>0</v>
      </c>
      <c r="Q161" s="14">
        <f>IF(SUM($E146:P146)&gt;SUM($E161:P161),SUM($E146:P146)/P40,0)</f>
        <v>0</v>
      </c>
      <c r="R161" s="14">
        <f>IF(SUM($E146:Q146)&gt;SUM($E161:Q161),SUM($E146:Q146)/Q40,0)</f>
        <v>0</v>
      </c>
      <c r="S161" s="14">
        <f>IF(SUM($E146:R146)&gt;SUM($E161:R161),SUM($E146:R146)/R40,0)</f>
        <v>0</v>
      </c>
      <c r="T161" s="14">
        <f>IF(SUM($E146:S146)&gt;SUM($E161:S161),SUM($E146:S146)/S40,0)</f>
        <v>0</v>
      </c>
      <c r="U161" s="14">
        <f>IF(SUM($E146:T146)&gt;SUM($E161:T161),SUM($E146:T146)/T40,0)</f>
        <v>0</v>
      </c>
      <c r="V161" s="14">
        <f>IF(SUM($E146:U146)&gt;SUM($E161:U161),SUM($E146:U146)/U40,0)</f>
        <v>0</v>
      </c>
      <c r="W161" s="14">
        <f>IF(SUM($E146:V146)&gt;SUM($E161:V161),SUM($E146:V146)/V40,0)</f>
        <v>0</v>
      </c>
      <c r="X161" s="14">
        <f>IF(SUM($E146:W146)&gt;SUM($E161:W161),SUM($E146:W146)/W40,0)</f>
        <v>0</v>
      </c>
      <c r="Y161" s="14">
        <f>IF(SUM($E146:X146)&gt;SUM($E161:X161),SUM($E146:X146)/X40,0)</f>
        <v>0</v>
      </c>
      <c r="Z161" s="14">
        <f>IF(SUM($E146:Y146)&gt;SUM($E161:Y161),SUM($E146:Y146)/Y40,0)</f>
        <v>0</v>
      </c>
      <c r="AA161" s="14">
        <f>IF(SUM($E146:Z146)&gt;SUM($E161:Z161),SUM($E146:Z146)/Z40,0)</f>
        <v>0</v>
      </c>
      <c r="AB161" s="14">
        <f>IF(SUM($E146:AA146)&gt;SUM($E161:AA161),SUM($E146:AA146)/AA40,0)</f>
        <v>0</v>
      </c>
      <c r="AC161" s="14">
        <f>IF(SUM($E146:AB146)&gt;SUM($E161:AB161),SUM($E146:AB146)/AB40,0)</f>
        <v>0</v>
      </c>
      <c r="AD161" s="14">
        <f>IF(SUM($E146:AC146)&gt;SUM($E161:AC161),SUM($E146:AC146)/AC40,0)</f>
        <v>0</v>
      </c>
      <c r="AE161" s="14">
        <f>IF(SUM($E146:AD146)&gt;SUM($E161:AD161),SUM($E146:AD146)/AD40,0)</f>
        <v>0</v>
      </c>
    </row>
    <row r="162" spans="2:32" ht="18.75" x14ac:dyDescent="0.3">
      <c r="B162" t="s">
        <v>283</v>
      </c>
      <c r="C162" s="328" t="s">
        <v>283</v>
      </c>
      <c r="D162" s="335"/>
      <c r="E162" s="370"/>
      <c r="F162" s="341"/>
      <c r="G162" s="341"/>
      <c r="H162" s="342"/>
      <c r="I162" s="341"/>
      <c r="J162" s="341"/>
      <c r="K162" s="381"/>
      <c r="L162" s="341"/>
      <c r="M162" s="341"/>
      <c r="N162" s="341"/>
      <c r="O162" s="341"/>
      <c r="P162" s="341"/>
      <c r="Q162" s="341"/>
      <c r="R162" s="341"/>
      <c r="S162" s="341"/>
      <c r="T162" s="341"/>
      <c r="U162" s="341"/>
      <c r="V162" s="341"/>
      <c r="W162" s="341"/>
      <c r="X162" s="341"/>
      <c r="Y162" s="341"/>
      <c r="Z162" s="341"/>
      <c r="AA162" s="341"/>
      <c r="AB162" s="341"/>
      <c r="AC162" s="341"/>
      <c r="AD162" s="341"/>
      <c r="AE162" s="341"/>
    </row>
    <row r="163" spans="2:32" x14ac:dyDescent="0.25">
      <c r="B163" t="s">
        <v>283</v>
      </c>
      <c r="C163" s="157" t="s">
        <v>200</v>
      </c>
      <c r="D163" s="329" t="s">
        <v>342</v>
      </c>
      <c r="E163" s="371">
        <f>IFERROR(E148/D49,0)</f>
        <v>0</v>
      </c>
      <c r="F163" s="14">
        <f>IF(SUM($E148:E148)&gt;SUM($E163:E163),SUM($E148:E148)/E49,0)</f>
        <v>0</v>
      </c>
      <c r="G163" s="14">
        <f>IF(SUM($E148:F148)&gt;SUM($E163:F163),SUM($E148:F148)/F49,0)</f>
        <v>0</v>
      </c>
      <c r="H163" s="14">
        <f>IF(SUM($E148:G148)&gt;SUM($E163:G163),SUM($E148:G148)/G49,0)</f>
        <v>0</v>
      </c>
      <c r="I163" s="14">
        <f>IF(SUM($E148:H148)&gt;SUM($E163:H163),SUM($E148:H148)/H49,0)</f>
        <v>0</v>
      </c>
      <c r="J163" s="14">
        <f>IF(SUM($E148:I148)&gt;SUM($E163:I163),SUM($E148:I148)/I49,0)</f>
        <v>0</v>
      </c>
      <c r="K163" s="14">
        <f>IF(SUM($E148:J148)&gt;SUM($E163:J163),SUM($E148:J148)/J49,0)</f>
        <v>170820</v>
      </c>
      <c r="L163" s="14">
        <f>IF(SUM($E148:K148)&gt;SUM($E163:K163),SUM($E148:K148)/K49,0)</f>
        <v>444570</v>
      </c>
      <c r="M163" s="14">
        <f>IF(SUM($E148:L148)&gt;SUM($E163:L163),SUM($E148:L148)/L49,0)</f>
        <v>882570</v>
      </c>
      <c r="N163" s="14">
        <f>IF(SUM($E148:M148)&gt;SUM($E163:M163),SUM($E148:M148)/M49,0)</f>
        <v>1457445</v>
      </c>
      <c r="O163" s="14">
        <f>IF(SUM($E148:N148)&gt;SUM($E163:N163),SUM($E148:N148)/N49,0)</f>
        <v>2258163.75</v>
      </c>
      <c r="P163" s="14">
        <f>IF(SUM($E148:O148)&gt;SUM($E163:O163),SUM($E148:O148)/O49,0)</f>
        <v>3368493.75</v>
      </c>
      <c r="Q163" s="14">
        <f>IF(SUM($E148:P148)&gt;SUM($E163:P163),SUM($E148:P148)/P49,0)</f>
        <v>4408196.25</v>
      </c>
      <c r="R163" s="14">
        <f>IF(SUM($E148:Q148)&gt;SUM($E163:Q163),SUM($E148:Q148)/Q49,0)</f>
        <v>5709056.25</v>
      </c>
      <c r="S163" s="14">
        <f>IF(SUM($E148:R148)&gt;SUM($E163:R163),SUM($E148:R148)/R49,0)</f>
        <v>7335131.25</v>
      </c>
      <c r="T163" s="14">
        <f>IF(SUM($E148:S148)&gt;SUM($E163:S163),SUM($E148:S148)/S49,0)</f>
        <v>9365261.25</v>
      </c>
      <c r="U163" s="14">
        <f>IF(SUM($E148:T148)&gt;SUM($E163:T163),SUM($E148:T148)/T49,0)</f>
        <v>11902923.75</v>
      </c>
      <c r="V163" s="14">
        <f>IF(SUM($E148:U148)&gt;SUM($E163:U163),SUM($E148:U148)/U49,0)</f>
        <v>15076233.75</v>
      </c>
      <c r="W163" s="14">
        <f>IF(SUM($E148:V148)&gt;SUM($E163:V163),SUM($E148:V148)/V49,0)</f>
        <v>18564903.75</v>
      </c>
      <c r="X163" s="14">
        <f>IF(SUM($E148:W148)&gt;SUM($E163:W163),SUM($E148:W148)/W49,0)</f>
        <v>22403426.25</v>
      </c>
      <c r="Y163" s="14">
        <f>IF(SUM($E148:X148)&gt;SUM($E163:X163),SUM($E148:X148)/X49,0)</f>
        <v>26626293.75</v>
      </c>
      <c r="Z163" s="14">
        <f>IF(SUM($E148:Y148)&gt;SUM($E163:Y163),SUM($E148:Y148)/Y49,0)</f>
        <v>31267998.75</v>
      </c>
      <c r="AA163" s="14">
        <f>IF(SUM($E148:Z148)&gt;SUM($E163:Z163),SUM($E148:Z148)/Z49,0)</f>
        <v>36377816.25</v>
      </c>
      <c r="AB163" s="14">
        <f>IF(SUM($E148:AA148)&gt;SUM($E163:AA163),SUM($E148:AA148)/AA49,0)</f>
        <v>41995166.25</v>
      </c>
      <c r="AC163" s="14">
        <f>IF(SUM($E148:AB148)&gt;SUM($E163:AB163),SUM($E148:AB148)/AB49,0)</f>
        <v>48174251.25</v>
      </c>
      <c r="AD163" s="14">
        <f>IF(SUM($E148:AC148)&gt;SUM($E163:AC163),SUM($E148:AC148)/AC49,0)</f>
        <v>54974201.25</v>
      </c>
      <c r="AE163" s="14">
        <f>IF(SUM($E148:AD148)&gt;SUM($E163:AD163),SUM($E148:AD148)/AD49,0)</f>
        <v>62454146.25</v>
      </c>
    </row>
    <row r="164" spans="2:32" ht="18.75" x14ac:dyDescent="0.3">
      <c r="B164" t="s">
        <v>265</v>
      </c>
      <c r="C164" s="328" t="s">
        <v>265</v>
      </c>
      <c r="D164" s="335"/>
      <c r="E164" s="370"/>
      <c r="F164" s="341"/>
      <c r="G164" s="341"/>
      <c r="H164" s="342"/>
      <c r="I164" s="341"/>
      <c r="J164" s="341"/>
      <c r="K164" s="381"/>
      <c r="L164" s="341"/>
      <c r="M164" s="341"/>
      <c r="N164" s="341"/>
      <c r="O164" s="341"/>
      <c r="P164" s="341"/>
      <c r="Q164" s="341"/>
      <c r="R164" s="341"/>
      <c r="S164" s="341"/>
      <c r="T164" s="341"/>
      <c r="U164" s="341"/>
      <c r="V164" s="341"/>
      <c r="W164" s="341"/>
      <c r="X164" s="341"/>
      <c r="Y164" s="341"/>
      <c r="Z164" s="341"/>
      <c r="AA164" s="341"/>
      <c r="AB164" s="341"/>
      <c r="AC164" s="341"/>
      <c r="AD164" s="341"/>
      <c r="AE164" s="341"/>
    </row>
    <row r="165" spans="2:32" x14ac:dyDescent="0.25">
      <c r="B165" t="s">
        <v>265</v>
      </c>
      <c r="C165" s="157" t="s">
        <v>200</v>
      </c>
      <c r="D165" s="329" t="s">
        <v>342</v>
      </c>
      <c r="E165" s="371">
        <f>IFERROR(E150/D59,0)</f>
        <v>0</v>
      </c>
      <c r="F165" s="14">
        <f>IF(SUM($E150:E150)&gt;SUM($E165:E165),SUM($E150:E150)/E59,0)</f>
        <v>0</v>
      </c>
      <c r="G165" s="14">
        <f>IF(SUM($E150:F150)&gt;SUM($E165:F165),SUM($E150:F150)/F59,0)</f>
        <v>0</v>
      </c>
      <c r="H165" s="14">
        <f>IF(SUM($E150:G150)&gt;SUM($E165:G165),SUM($E150:G150)/G59,0)</f>
        <v>0</v>
      </c>
      <c r="I165" s="14">
        <f>IF(SUM($E150:H150)&gt;SUM($E165:H165),SUM($E150:H150)/H59,0)</f>
        <v>0</v>
      </c>
      <c r="J165" s="14">
        <f>IF(SUM($E150:I150)&gt;SUM($E165:I165),SUM($E150:I150)/I59,0)</f>
        <v>0</v>
      </c>
      <c r="K165" s="14">
        <f>IF(SUM($E150:J150)&gt;SUM($E165:J165),SUM($E150:J150)/J59,0)</f>
        <v>0</v>
      </c>
      <c r="L165" s="14">
        <f>IF(SUM($E150:K150)&gt;SUM($E165:K165),SUM($E150:K150)/K59,0)</f>
        <v>0</v>
      </c>
      <c r="M165" s="14">
        <f>IF(SUM($E150:L150)&gt;SUM($E165:L165),SUM($E150:L150)/L59,0)</f>
        <v>0</v>
      </c>
      <c r="N165" s="14">
        <f>IF(SUM($E150:M150)&gt;SUM($E165:M165),SUM($E150:M150)/M59,0)</f>
        <v>0</v>
      </c>
      <c r="O165" s="14">
        <f>IF(SUM($E150:N150)&gt;SUM($E165:N165),SUM($E150:N150)/N59,0)</f>
        <v>0</v>
      </c>
      <c r="P165" s="14">
        <f>IF(SUM($E150:O150)&gt;SUM($E165:O165),SUM($E150:O150)/O59,0)</f>
        <v>0</v>
      </c>
      <c r="Q165" s="14">
        <f>IF(SUM($E150:P150)&gt;SUM($E165:P165),SUM($E150:P150)/P59,0)</f>
        <v>0</v>
      </c>
      <c r="R165" s="14">
        <f>IF(SUM($E150:Q150)&gt;SUM($E165:Q165),SUM($E150:Q150)/Q59,0)</f>
        <v>0</v>
      </c>
      <c r="S165" s="14">
        <f>IF(SUM($E150:R150)&gt;SUM($E165:R165),SUM($E150:R150)/R59,0)</f>
        <v>0</v>
      </c>
      <c r="T165" s="14">
        <f>IF(SUM($E150:S150)&gt;SUM($E165:S165),SUM($E150:S150)/S59,0)</f>
        <v>0</v>
      </c>
      <c r="U165" s="14">
        <f>IF(SUM($E150:T150)&gt;SUM($E165:T165),SUM($E150:T150)/T59,0)</f>
        <v>0</v>
      </c>
      <c r="V165" s="14">
        <f>IF(SUM($E150:U150)&gt;SUM($E165:U165),SUM($E150:U150)/U59,0)</f>
        <v>0</v>
      </c>
      <c r="W165" s="14">
        <f>IF(SUM($E150:V150)&gt;SUM($E165:V165),SUM($E150:V150)/V59,0)</f>
        <v>0</v>
      </c>
      <c r="X165" s="14">
        <f>IF(SUM($E150:W150)&gt;SUM($E165:W165),SUM($E150:W150)/W59,0)</f>
        <v>0</v>
      </c>
      <c r="Y165" s="14">
        <f>IF(SUM($E150:X150)&gt;SUM($E165:X165),SUM($E150:X150)/X59,0)</f>
        <v>0</v>
      </c>
      <c r="Z165" s="14">
        <f>IF(SUM($E150:Y150)&gt;SUM($E165:Y165),SUM($E150:Y150)/Y59,0)</f>
        <v>0</v>
      </c>
      <c r="AA165" s="14">
        <f>IF(SUM($E150:Z150)&gt;SUM($E165:Z165),SUM($E150:Z150)/Z59,0)</f>
        <v>0</v>
      </c>
      <c r="AB165" s="14">
        <f>IF(SUM($E150:AA150)&gt;SUM($E165:AA165),SUM($E150:AA150)/AA59,0)</f>
        <v>0</v>
      </c>
      <c r="AC165" s="14">
        <f>IF(SUM($E150:AB150)&gt;SUM($E165:AB165),SUM($E150:AB150)/AB59,0)</f>
        <v>0</v>
      </c>
      <c r="AD165" s="14">
        <f>IF(SUM($E150:AC150)&gt;SUM($E165:AC165),SUM($E150:AC150)/AC59,0)</f>
        <v>0</v>
      </c>
      <c r="AE165" s="14">
        <f>IF(SUM($E150:AD150)&gt;SUM($E165:AD165),SUM($E150:AD150)/AD59,0)</f>
        <v>0</v>
      </c>
    </row>
    <row r="166" spans="2:32" ht="18.75" x14ac:dyDescent="0.3">
      <c r="B166" t="s">
        <v>278</v>
      </c>
      <c r="C166" s="328" t="s">
        <v>278</v>
      </c>
      <c r="D166" s="335"/>
      <c r="E166" s="370"/>
      <c r="F166" s="341"/>
      <c r="G166" s="341"/>
      <c r="H166" s="342"/>
      <c r="I166" s="341"/>
      <c r="J166" s="341"/>
      <c r="K166" s="381"/>
      <c r="L166" s="341"/>
      <c r="M166" s="341"/>
      <c r="N166" s="341"/>
      <c r="O166" s="341"/>
      <c r="P166" s="341"/>
      <c r="Q166" s="341"/>
      <c r="R166" s="341"/>
      <c r="S166" s="341"/>
      <c r="T166" s="341"/>
      <c r="U166" s="341"/>
      <c r="V166" s="341"/>
      <c r="W166" s="341"/>
      <c r="X166" s="341"/>
      <c r="Y166" s="341"/>
      <c r="Z166" s="341"/>
      <c r="AA166" s="341"/>
      <c r="AB166" s="341"/>
      <c r="AC166" s="341"/>
      <c r="AD166" s="341"/>
      <c r="AE166" s="341"/>
    </row>
    <row r="167" spans="2:32" x14ac:dyDescent="0.25">
      <c r="B167" t="s">
        <v>278</v>
      </c>
      <c r="C167" s="157" t="s">
        <v>200</v>
      </c>
      <c r="D167" s="329" t="s">
        <v>342</v>
      </c>
      <c r="E167" s="371">
        <f>IFERROR(E152/D68,0)</f>
        <v>0</v>
      </c>
      <c r="F167" s="14">
        <f>IF(SUM($E152:E152)&gt;SUM($E167:E167),SUM($E152:E152)/E68,0)</f>
        <v>0</v>
      </c>
      <c r="G167" s="14">
        <f>IF(SUM($E152:F152)&gt;SUM($E167:F167),SUM($E152:F152)/F68,0)</f>
        <v>0</v>
      </c>
      <c r="H167" s="14">
        <f>IF(SUM($E152:G152)&gt;SUM($E167:G167),SUM($E152:G152)/G68,0)</f>
        <v>0</v>
      </c>
      <c r="I167" s="14">
        <f>IF(SUM($E152:H152)&gt;SUM($E167:H167),SUM($E152:H152)/H68,0)</f>
        <v>0</v>
      </c>
      <c r="J167" s="14">
        <f>IF(SUM($E152:I152)&gt;SUM($E167:I167),SUM($E152:I152)/I68,0)</f>
        <v>0</v>
      </c>
      <c r="K167" s="14">
        <f>IF(SUM($E152:J152)&gt;SUM($E167:J167),SUM($E152:J152)/J68,0)</f>
        <v>0</v>
      </c>
      <c r="L167" s="14">
        <f>IF(SUM($E152:K152)&gt;SUM($E167:K167),SUM($E152:K152)/K68,0)</f>
        <v>0</v>
      </c>
      <c r="M167" s="14">
        <f>IF(SUM($E152:L152)&gt;SUM($E167:L167),SUM($E152:L152)/L68,0)</f>
        <v>0</v>
      </c>
      <c r="N167" s="14">
        <f>IF(SUM($E152:M152)&gt;SUM($E167:M167),SUM($E152:M152)/M68,0)</f>
        <v>0</v>
      </c>
      <c r="O167" s="14">
        <f>IF(SUM($E152:N152)&gt;SUM($E167:N167),SUM($E152:N152)/N68,0)</f>
        <v>0</v>
      </c>
      <c r="P167" s="14">
        <f>IF(SUM($E152:O152)&gt;SUM($E167:O167),SUM($E152:O152)/O68,0)</f>
        <v>0</v>
      </c>
      <c r="Q167" s="14">
        <f>IF(SUM($E152:P152)&gt;SUM($E167:P167),SUM($E152:P152)/P68,0)</f>
        <v>0</v>
      </c>
      <c r="R167" s="14">
        <f>IF(SUM($E152:Q152)&gt;SUM($E167:Q167),SUM($E152:Q152)/Q68,0)</f>
        <v>0</v>
      </c>
      <c r="S167" s="14">
        <f>IF(SUM($E152:R152)&gt;SUM($E167:R167),SUM($E152:R152)/R68,0)</f>
        <v>0</v>
      </c>
      <c r="T167" s="14">
        <f>IF(SUM($E152:S152)&gt;SUM($E167:S167),SUM($E152:S152)/S68,0)</f>
        <v>0</v>
      </c>
      <c r="U167" s="14">
        <f>IF(SUM($E152:T152)&gt;SUM($E167:T167),SUM($E152:T152)/T68,0)</f>
        <v>0</v>
      </c>
      <c r="V167" s="14">
        <f>IF(SUM($E152:U152)&gt;SUM($E167:U167),SUM($E152:U152)/U68,0)</f>
        <v>0</v>
      </c>
      <c r="W167" s="14">
        <f>IF(SUM($E152:V152)&gt;SUM($E167:V167),SUM($E152:V152)/V68,0)</f>
        <v>0</v>
      </c>
      <c r="X167" s="14">
        <f>IF(SUM($E152:W152)&gt;SUM($E167:W167),SUM($E152:W152)/W68,0)</f>
        <v>0</v>
      </c>
      <c r="Y167" s="14">
        <f>IF(SUM($E152:X152)&gt;SUM($E167:X167),SUM($E152:X152)/X68,0)</f>
        <v>0</v>
      </c>
      <c r="Z167" s="14">
        <f>IF(SUM($E152:Y152)&gt;SUM($E167:Y167),SUM($E152:Y152)/Y68,0)</f>
        <v>0</v>
      </c>
      <c r="AA167" s="14">
        <f>IF(SUM($E152:Z152)&gt;SUM($E167:Z167),SUM($E152:Z152)/Z68,0)</f>
        <v>0</v>
      </c>
      <c r="AB167" s="14">
        <f>IF(SUM($E152:AA152)&gt;SUM($E167:AA167),SUM($E152:AA152)/AA68,0)</f>
        <v>0</v>
      </c>
      <c r="AC167" s="14">
        <f>IF(SUM($E152:AB152)&gt;SUM($E167:AB167),SUM($E152:AB152)/AB68,0)</f>
        <v>0</v>
      </c>
      <c r="AD167" s="14">
        <f>IF(SUM($E152:AC152)&gt;SUM($E167:AC167),SUM($E152:AC152)/AC68,0)</f>
        <v>0</v>
      </c>
      <c r="AE167" s="14">
        <f>IF(SUM($E152:AD152)&gt;SUM($E167:AD167),SUM($E152:AD152)/AD68,0)</f>
        <v>0</v>
      </c>
    </row>
    <row r="168" spans="2:32" ht="18.75" x14ac:dyDescent="0.3">
      <c r="B168" t="s">
        <v>296</v>
      </c>
      <c r="C168" s="328" t="s">
        <v>296</v>
      </c>
      <c r="D168" s="335"/>
      <c r="E168" s="370"/>
      <c r="F168" s="341"/>
      <c r="G168" s="341"/>
      <c r="H168" s="342"/>
      <c r="I168" s="341"/>
      <c r="J168" s="341"/>
      <c r="K168" s="381"/>
      <c r="L168" s="341"/>
      <c r="M168" s="341"/>
      <c r="N168" s="341"/>
      <c r="O168" s="341"/>
      <c r="P168" s="341"/>
      <c r="Q168" s="341"/>
      <c r="R168" s="341"/>
      <c r="S168" s="341"/>
      <c r="T168" s="341"/>
      <c r="U168" s="341"/>
      <c r="V168" s="341"/>
      <c r="W168" s="341"/>
      <c r="X168" s="341"/>
      <c r="Y168" s="341"/>
      <c r="Z168" s="341"/>
      <c r="AA168" s="341"/>
      <c r="AB168" s="341"/>
      <c r="AC168" s="341"/>
      <c r="AD168" s="341"/>
      <c r="AE168" s="341"/>
    </row>
    <row r="169" spans="2:32" x14ac:dyDescent="0.25">
      <c r="B169" t="s">
        <v>296</v>
      </c>
      <c r="C169" s="157" t="s">
        <v>200</v>
      </c>
      <c r="D169" s="329" t="s">
        <v>342</v>
      </c>
      <c r="E169" s="371">
        <v>0</v>
      </c>
      <c r="F169" s="14">
        <f>IF(SUM($E154:E154)&gt;SUM($E169:E169),SUM($E154:E154)/E78,0)</f>
        <v>0</v>
      </c>
      <c r="G169" s="14">
        <f>IF(SUM($E154:F154)&gt;SUM($E169:F169),SUM($E154:F154)/F78,0)</f>
        <v>0</v>
      </c>
      <c r="H169" s="14">
        <f>IF(SUM($E154:G154)&gt;SUM($E169:G169),SUM($E154:G154)/G78,0)</f>
        <v>0</v>
      </c>
      <c r="I169" s="14">
        <f>IF(SUM($E154:H154)&gt;SUM($E169:H169),SUM($E154:H154)/H78,0)</f>
        <v>0</v>
      </c>
      <c r="J169" s="14">
        <f>IF(SUM($E154:I154)&gt;SUM($E169:I169),SUM($E154:I154)/I78,0)</f>
        <v>0</v>
      </c>
      <c r="K169" s="14">
        <f>IF(SUM($E154:J154)&gt;SUM($E169:J169),SUM($E154:J154)/J78,0)</f>
        <v>170820</v>
      </c>
      <c r="L169" s="14">
        <f>IF(SUM($E154:K154)&gt;SUM($E169:K169),SUM($E154:K154)/K78,0)</f>
        <v>444570</v>
      </c>
      <c r="M169" s="14">
        <f>IF(SUM($E154:L154)&gt;SUM($E169:L169),SUM($E154:L154)/L78,0)</f>
        <v>882570</v>
      </c>
      <c r="N169" s="14">
        <f>IF(SUM($E154:M154)&gt;SUM($E169:M169),SUM($E154:M154)/M78,0)</f>
        <v>1457445</v>
      </c>
      <c r="O169" s="14">
        <f>IF(SUM($E154:N154)&gt;SUM($E169:N169),SUM($E154:N154)/N78,0)</f>
        <v>2258163.75</v>
      </c>
      <c r="P169" s="14">
        <f>IF(SUM($E154:O154)&gt;SUM($E169:O169),SUM($E154:O154)/O78,0)</f>
        <v>3368493.75</v>
      </c>
      <c r="Q169" s="14">
        <f>IF(SUM($E154:P154)&gt;SUM($E169:P169),SUM($E154:P154)/P78,0)</f>
        <v>4408196.25</v>
      </c>
      <c r="R169" s="14">
        <f>IF(SUM($E154:Q154)&gt;SUM($E169:Q169),SUM($E154:Q154)/Q78,0)</f>
        <v>5709056.25</v>
      </c>
      <c r="S169" s="14">
        <f>IF(SUM($E154:R154)&gt;SUM($E169:R169),SUM($E154:R154)/R78,0)</f>
        <v>7335131.25</v>
      </c>
      <c r="T169" s="14">
        <f>IF(SUM($E154:S154)&gt;SUM($E169:S169),SUM($E154:S154)/S78,0)</f>
        <v>9365261.25</v>
      </c>
      <c r="U169" s="14">
        <f>IF(SUM($E154:T154)&gt;SUM($E169:T169),SUM($E154:T154)/T78,0)</f>
        <v>11902923.75</v>
      </c>
      <c r="V169" s="14">
        <f>IF(SUM($E154:U154)&gt;SUM($E169:U169),SUM($E154:U154)/U78,0)</f>
        <v>15076233.75</v>
      </c>
      <c r="W169" s="14">
        <f>IF(SUM($E154:V154)&gt;SUM($E169:V169),SUM($E154:V154)/V78,0)</f>
        <v>18564903.75</v>
      </c>
      <c r="X169" s="14">
        <f>IF(SUM($E154:W154)&gt;SUM($E169:W169),SUM($E154:W154)/W78,0)</f>
        <v>22403426.25</v>
      </c>
      <c r="Y169" s="14">
        <f>IF(SUM($E154:X154)&gt;SUM($E169:X169),SUM($E154:X154)/X78,0)</f>
        <v>26626293.75</v>
      </c>
      <c r="Z169" s="14">
        <f>IF(SUM($E154:Y154)&gt;SUM($E169:Y169),SUM($E154:Y154)/Y78,0)</f>
        <v>31267998.75</v>
      </c>
      <c r="AA169" s="14">
        <f>IF(SUM($E154:Z154)&gt;SUM($E169:Z169),SUM($E154:Z154)/Z78,0)</f>
        <v>36377816.25</v>
      </c>
      <c r="AB169" s="14">
        <f>IF(SUM($E154:AA154)&gt;SUM($E169:AA169),SUM($E154:AA154)/AA78,0)</f>
        <v>41995166.25</v>
      </c>
      <c r="AC169" s="14">
        <f>IF(SUM($E154:AB154)&gt;SUM($E169:AB169),SUM($E154:AB154)/AB78,0)</f>
        <v>48174251.25</v>
      </c>
      <c r="AD169" s="14">
        <f>IF(SUM($E154:AC154)&gt;SUM($E169:AC169),SUM($E154:AC154)/AC78,0)</f>
        <v>54974201.25</v>
      </c>
      <c r="AE169" s="14">
        <f>IF(SUM($E154:AD154)&gt;SUM($E169:AD169),SUM($E154:AD154)/AD78,0)</f>
        <v>62454146.25</v>
      </c>
    </row>
    <row r="170" spans="2:32" x14ac:dyDescent="0.25">
      <c r="C170" s="293" t="s">
        <v>341</v>
      </c>
      <c r="D170" s="329" t="s">
        <v>342</v>
      </c>
      <c r="E170" s="370">
        <f>IF($D$4="Yes",SUM(E159),0)+IF($F$4="Yes",SUM(E161),0)+IF($G$4="Yes",SUM(E163),0)+IF($H$4="Yes",SUM(E165),0)+IF($I$4="Yes",SUM(E167),0)+IF($J$4="Yes",SUM(E169),0)</f>
        <v>0</v>
      </c>
      <c r="F170" s="370">
        <f t="shared" ref="F170:AE170" si="31">IF($D$4="Yes",SUM(F159),0)+IF($F$4="Yes",SUM(F161),0)+IF($G$4="Yes",SUM(F163),0)+IF($H$4="Yes",SUM(F165),0)+IF($I$4="Yes",SUM(F167),0)+IF($J$4="Yes",SUM(F169),0)</f>
        <v>0</v>
      </c>
      <c r="G170" s="370">
        <f t="shared" si="31"/>
        <v>0</v>
      </c>
      <c r="H170" s="370">
        <f t="shared" si="31"/>
        <v>0</v>
      </c>
      <c r="I170" s="370">
        <f t="shared" si="31"/>
        <v>99750</v>
      </c>
      <c r="J170" s="370">
        <f t="shared" si="31"/>
        <v>224778.75</v>
      </c>
      <c r="K170" s="370">
        <f t="shared" si="31"/>
        <v>566418.75</v>
      </c>
      <c r="L170" s="370">
        <f t="shared" si="31"/>
        <v>1113918.75</v>
      </c>
      <c r="M170" s="370">
        <f t="shared" si="31"/>
        <v>1989918.75</v>
      </c>
      <c r="N170" s="370">
        <f t="shared" si="31"/>
        <v>3139668.75</v>
      </c>
      <c r="O170" s="370">
        <f t="shared" si="31"/>
        <v>4741106.25</v>
      </c>
      <c r="P170" s="370">
        <f t="shared" si="31"/>
        <v>6961766.25</v>
      </c>
      <c r="Q170" s="370">
        <f t="shared" si="31"/>
        <v>9041171.25</v>
      </c>
      <c r="R170" s="370">
        <f t="shared" si="31"/>
        <v>11642891.25</v>
      </c>
      <c r="S170" s="370">
        <f t="shared" si="31"/>
        <v>14895041.25</v>
      </c>
      <c r="T170" s="370">
        <f t="shared" si="31"/>
        <v>18955301.25</v>
      </c>
      <c r="U170" s="370">
        <f t="shared" si="31"/>
        <v>24030626.25</v>
      </c>
      <c r="V170" s="370">
        <f t="shared" si="31"/>
        <v>30377246.25</v>
      </c>
      <c r="W170" s="370">
        <f t="shared" si="31"/>
        <v>37354586.25</v>
      </c>
      <c r="X170" s="370">
        <f t="shared" si="31"/>
        <v>45031631.25</v>
      </c>
      <c r="Y170" s="370">
        <f t="shared" si="31"/>
        <v>53477366.25</v>
      </c>
      <c r="Z170" s="370">
        <f t="shared" si="31"/>
        <v>62760776.25</v>
      </c>
      <c r="AA170" s="370">
        <f t="shared" si="31"/>
        <v>72980411.25</v>
      </c>
      <c r="AB170" s="370">
        <f t="shared" si="31"/>
        <v>84215111.25</v>
      </c>
      <c r="AC170" s="370">
        <f t="shared" si="31"/>
        <v>96573281.25</v>
      </c>
      <c r="AD170" s="370">
        <f t="shared" si="31"/>
        <v>109948402.5</v>
      </c>
      <c r="AE170" s="370">
        <f t="shared" si="31"/>
        <v>124908292.5</v>
      </c>
    </row>
    <row r="171" spans="2:32" ht="16.5" thickBot="1" x14ac:dyDescent="0.3">
      <c r="D171" s="338"/>
      <c r="E171" s="369"/>
      <c r="H171" s="339"/>
      <c r="K171" s="52"/>
    </row>
    <row r="172" spans="2:32" s="319" customFormat="1" ht="23.25" x14ac:dyDescent="0.35">
      <c r="B172" s="315"/>
      <c r="C172" s="316" t="s">
        <v>310</v>
      </c>
      <c r="D172" s="351"/>
      <c r="E172" s="359"/>
      <c r="F172" s="317"/>
      <c r="G172" s="317"/>
      <c r="H172" s="318"/>
      <c r="I172" s="317"/>
      <c r="J172" s="317"/>
      <c r="K172" s="376"/>
      <c r="L172" s="317"/>
      <c r="M172" s="317"/>
      <c r="N172" s="317"/>
      <c r="O172" s="317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  <c r="AA172" s="317"/>
      <c r="AB172" s="317"/>
      <c r="AC172" s="317"/>
      <c r="AD172" s="317"/>
      <c r="AE172" s="317"/>
    </row>
    <row r="173" spans="2:32" s="319" customFormat="1" ht="18.75" x14ac:dyDescent="0.3">
      <c r="B173" s="276"/>
      <c r="C173" s="276" t="s">
        <v>255</v>
      </c>
      <c r="D173" s="352" t="s">
        <v>268</v>
      </c>
      <c r="E173" s="360" t="s">
        <v>152</v>
      </c>
      <c r="F173" s="8"/>
      <c r="G173" s="8"/>
      <c r="H173" s="320" t="s">
        <v>153</v>
      </c>
      <c r="J173" s="8" t="s">
        <v>154</v>
      </c>
      <c r="K173" s="377"/>
      <c r="L173" s="8" t="s">
        <v>155</v>
      </c>
      <c r="P173" s="321"/>
    </row>
    <row r="174" spans="2:32" s="319" customFormat="1" ht="18.75" x14ac:dyDescent="0.3">
      <c r="C174" s="322"/>
      <c r="D174" s="353"/>
      <c r="E174" s="361">
        <v>2024</v>
      </c>
      <c r="F174" s="322">
        <v>2025</v>
      </c>
      <c r="G174" s="322">
        <v>2026</v>
      </c>
      <c r="H174" s="323">
        <v>2027</v>
      </c>
      <c r="I174" s="322">
        <v>2028</v>
      </c>
      <c r="J174" s="322">
        <v>2029</v>
      </c>
      <c r="K174" s="378">
        <v>2030</v>
      </c>
      <c r="L174" s="322">
        <v>2031</v>
      </c>
      <c r="M174" s="322">
        <v>2032</v>
      </c>
      <c r="N174" s="322">
        <v>2033</v>
      </c>
      <c r="O174" s="322">
        <v>2034</v>
      </c>
      <c r="P174" s="322">
        <v>2035</v>
      </c>
      <c r="Q174" s="322">
        <v>2036</v>
      </c>
      <c r="R174" s="322">
        <v>2037</v>
      </c>
      <c r="S174" s="322">
        <v>2038</v>
      </c>
      <c r="T174" s="322">
        <v>2039</v>
      </c>
      <c r="U174" s="322">
        <v>2040</v>
      </c>
      <c r="V174" s="322">
        <v>2041</v>
      </c>
      <c r="W174" s="322">
        <v>2042</v>
      </c>
      <c r="X174" s="322">
        <v>2043</v>
      </c>
      <c r="Y174" s="322">
        <v>2044</v>
      </c>
      <c r="Z174" s="322">
        <v>2045</v>
      </c>
      <c r="AA174" s="322">
        <v>2046</v>
      </c>
      <c r="AB174" s="322">
        <v>2047</v>
      </c>
      <c r="AC174" s="322">
        <v>2048</v>
      </c>
      <c r="AD174" s="322">
        <v>2049</v>
      </c>
      <c r="AE174" s="322">
        <v>2050</v>
      </c>
    </row>
    <row r="175" spans="2:32" x14ac:dyDescent="0.25">
      <c r="C175" s="324" t="s">
        <v>311</v>
      </c>
      <c r="D175" s="335"/>
      <c r="E175" s="362"/>
      <c r="F175" s="326"/>
      <c r="G175" s="326"/>
      <c r="H175" s="327"/>
      <c r="I175" s="326"/>
      <c r="J175" s="326"/>
      <c r="K175" s="379"/>
      <c r="L175" s="326"/>
      <c r="M175" s="326"/>
      <c r="N175" s="326"/>
      <c r="O175" s="326"/>
      <c r="P175" s="326"/>
      <c r="Q175" s="326"/>
      <c r="R175" s="326"/>
      <c r="S175" s="326"/>
      <c r="T175" s="326"/>
      <c r="U175" s="326"/>
      <c r="V175" s="326"/>
      <c r="W175" s="326"/>
      <c r="X175" s="326"/>
      <c r="Y175" s="326"/>
      <c r="Z175" s="326"/>
      <c r="AA175" s="326"/>
      <c r="AB175" s="326"/>
      <c r="AC175" s="326"/>
      <c r="AD175" s="326"/>
      <c r="AE175" s="326"/>
      <c r="AF175" s="326"/>
    </row>
    <row r="176" spans="2:32" ht="18.75" hidden="1" x14ac:dyDescent="0.3">
      <c r="B176" t="s">
        <v>263</v>
      </c>
      <c r="C176" s="328" t="s">
        <v>263</v>
      </c>
      <c r="D176" s="335"/>
      <c r="E176" s="362"/>
      <c r="F176" s="326"/>
      <c r="G176" s="326"/>
      <c r="H176" s="327"/>
      <c r="I176" s="326"/>
      <c r="J176" s="326"/>
      <c r="K176" s="379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  <c r="V176" s="326"/>
      <c r="W176" s="326"/>
      <c r="X176" s="326"/>
      <c r="Y176" s="326"/>
      <c r="Z176" s="326"/>
      <c r="AA176" s="326"/>
      <c r="AB176" s="326"/>
      <c r="AC176" s="326"/>
      <c r="AD176" s="326"/>
      <c r="AE176" s="326"/>
      <c r="AF176" s="326"/>
    </row>
    <row r="177" spans="2:32" hidden="1" x14ac:dyDescent="0.25">
      <c r="B177" t="s">
        <v>263</v>
      </c>
      <c r="C177" s="157" t="s">
        <v>306</v>
      </c>
      <c r="D177" s="329" t="s">
        <v>269</v>
      </c>
      <c r="E177" s="363"/>
      <c r="F177" s="22"/>
      <c r="G177" s="22"/>
      <c r="H177" s="330"/>
      <c r="I177" s="22"/>
      <c r="K177" s="52"/>
    </row>
    <row r="178" spans="2:32" hidden="1" x14ac:dyDescent="0.25">
      <c r="B178" t="s">
        <v>263</v>
      </c>
      <c r="C178" s="157" t="s">
        <v>307</v>
      </c>
      <c r="D178" s="329" t="s">
        <v>38</v>
      </c>
      <c r="E178" s="367">
        <f>('TEA values'!$C$17-('TEA values'!$C$25+'TEA values'!$C$26))</f>
        <v>0.28000000000000003</v>
      </c>
      <c r="F178" s="20">
        <f>('TEA values'!$C$17-('TEA values'!$C$25+'TEA values'!$C$26))</f>
        <v>0.28000000000000003</v>
      </c>
      <c r="G178" s="20">
        <f>('TEA values'!$C$17-('TEA values'!$C$25+'TEA values'!$C$26))</f>
        <v>0.28000000000000003</v>
      </c>
      <c r="H178" s="336">
        <f>('TEA values'!$C$17-('TEA values'!$C$25+'TEA values'!$C$26))</f>
        <v>0.28000000000000003</v>
      </c>
      <c r="I178" s="20">
        <f>('TEA values'!$C$17-('TEA values'!$C$25+'TEA values'!$C$26))</f>
        <v>0.28000000000000003</v>
      </c>
      <c r="J178" s="20">
        <f>('TEA values'!$C$17-('TEA values'!$C$25+'TEA values'!$C$26))</f>
        <v>0.28000000000000003</v>
      </c>
      <c r="K178" s="21">
        <f>('TEA values'!$C$17-('TEA values'!$C$25+'TEA values'!$C$26))</f>
        <v>0.28000000000000003</v>
      </c>
      <c r="L178" s="20">
        <f>('TEA values'!$C$17-('TEA values'!$C$25+'TEA values'!$C$26))</f>
        <v>0.28000000000000003</v>
      </c>
      <c r="M178" s="20">
        <f>('TEA values'!$C$17-('TEA values'!$C$25+'TEA values'!$C$26))</f>
        <v>0.28000000000000003</v>
      </c>
      <c r="N178" s="20">
        <f>('TEA values'!$C$17-('TEA values'!$C$25+'TEA values'!$C$26))</f>
        <v>0.28000000000000003</v>
      </c>
      <c r="O178" s="20">
        <f>('TEA values'!$C$17-('TEA values'!$C$25+'TEA values'!$C$26))</f>
        <v>0.28000000000000003</v>
      </c>
    </row>
    <row r="179" spans="2:32" hidden="1" x14ac:dyDescent="0.25">
      <c r="B179" t="s">
        <v>263</v>
      </c>
      <c r="C179" s="157" t="s">
        <v>271</v>
      </c>
      <c r="D179" s="329" t="s">
        <v>301</v>
      </c>
      <c r="E179" s="363">
        <v>150</v>
      </c>
      <c r="F179" s="22">
        <v>150</v>
      </c>
      <c r="G179" s="22">
        <v>150</v>
      </c>
      <c r="H179" s="330">
        <v>150</v>
      </c>
      <c r="I179" s="22">
        <v>150</v>
      </c>
      <c r="J179" s="22">
        <v>150</v>
      </c>
      <c r="K179" s="23">
        <v>150</v>
      </c>
      <c r="L179" s="22">
        <v>150</v>
      </c>
      <c r="M179" s="22">
        <v>150</v>
      </c>
      <c r="N179" s="22">
        <v>150</v>
      </c>
      <c r="O179" s="22">
        <v>150</v>
      </c>
      <c r="P179" s="22">
        <v>151</v>
      </c>
      <c r="Q179" s="22">
        <v>152</v>
      </c>
      <c r="R179" s="22">
        <v>153</v>
      </c>
      <c r="S179" s="22">
        <v>154</v>
      </c>
      <c r="T179" s="22">
        <v>155</v>
      </c>
      <c r="U179" s="22">
        <v>156</v>
      </c>
      <c r="V179" s="22">
        <v>157</v>
      </c>
      <c r="W179" s="22">
        <v>158</v>
      </c>
      <c r="X179" s="22">
        <v>159</v>
      </c>
      <c r="Y179" s="22">
        <v>160</v>
      </c>
      <c r="Z179" s="22">
        <v>161</v>
      </c>
      <c r="AA179" s="22">
        <v>162</v>
      </c>
      <c r="AB179" s="22">
        <v>163</v>
      </c>
      <c r="AC179" s="22">
        <v>164</v>
      </c>
      <c r="AD179" s="22">
        <v>165</v>
      </c>
      <c r="AE179" s="22">
        <v>166</v>
      </c>
    </row>
    <row r="180" spans="2:32" hidden="1" x14ac:dyDescent="0.25">
      <c r="B180" t="s">
        <v>263</v>
      </c>
      <c r="C180" s="157" t="s">
        <v>272</v>
      </c>
      <c r="D180" s="329" t="s">
        <v>273</v>
      </c>
      <c r="E180" s="363">
        <f t="shared" ref="E180:AE180" si="32">365*0.9</f>
        <v>328.5</v>
      </c>
      <c r="F180" s="22">
        <f t="shared" si="32"/>
        <v>328.5</v>
      </c>
      <c r="G180" s="22">
        <f t="shared" si="32"/>
        <v>328.5</v>
      </c>
      <c r="H180" s="330">
        <f t="shared" si="32"/>
        <v>328.5</v>
      </c>
      <c r="I180" s="22">
        <f t="shared" si="32"/>
        <v>328.5</v>
      </c>
      <c r="J180" s="22">
        <f t="shared" si="32"/>
        <v>328.5</v>
      </c>
      <c r="K180" s="23">
        <f t="shared" si="32"/>
        <v>328.5</v>
      </c>
      <c r="L180" s="22">
        <f t="shared" si="32"/>
        <v>328.5</v>
      </c>
      <c r="M180" s="22">
        <f t="shared" si="32"/>
        <v>328.5</v>
      </c>
      <c r="N180" s="22">
        <f t="shared" si="32"/>
        <v>328.5</v>
      </c>
      <c r="O180" s="22">
        <f t="shared" si="32"/>
        <v>328.5</v>
      </c>
      <c r="P180" s="22">
        <f t="shared" si="32"/>
        <v>328.5</v>
      </c>
      <c r="Q180" s="22">
        <f t="shared" si="32"/>
        <v>328.5</v>
      </c>
      <c r="R180" s="22">
        <f t="shared" si="32"/>
        <v>328.5</v>
      </c>
      <c r="S180" s="22">
        <f t="shared" si="32"/>
        <v>328.5</v>
      </c>
      <c r="T180" s="22">
        <f t="shared" si="32"/>
        <v>328.5</v>
      </c>
      <c r="U180" s="22">
        <f t="shared" si="32"/>
        <v>328.5</v>
      </c>
      <c r="V180" s="22">
        <f t="shared" si="32"/>
        <v>328.5</v>
      </c>
      <c r="W180" s="22">
        <f t="shared" si="32"/>
        <v>328.5</v>
      </c>
      <c r="X180" s="22">
        <f t="shared" si="32"/>
        <v>328.5</v>
      </c>
      <c r="Y180" s="22">
        <f t="shared" si="32"/>
        <v>328.5</v>
      </c>
      <c r="Z180" s="22">
        <f t="shared" si="32"/>
        <v>328.5</v>
      </c>
      <c r="AA180" s="22">
        <f t="shared" si="32"/>
        <v>328.5</v>
      </c>
      <c r="AB180" s="22">
        <f t="shared" si="32"/>
        <v>328.5</v>
      </c>
      <c r="AC180" s="22">
        <f t="shared" si="32"/>
        <v>328.5</v>
      </c>
      <c r="AD180" s="22">
        <f t="shared" si="32"/>
        <v>328.5</v>
      </c>
      <c r="AE180" s="22">
        <f t="shared" si="32"/>
        <v>328.5</v>
      </c>
    </row>
    <row r="181" spans="2:32" hidden="1" x14ac:dyDescent="0.25">
      <c r="B181" t="s">
        <v>263</v>
      </c>
      <c r="C181" s="157" t="s">
        <v>275</v>
      </c>
      <c r="D181" s="329" t="s">
        <v>274</v>
      </c>
      <c r="E181" s="365"/>
      <c r="F181" s="14"/>
      <c r="G181" s="14"/>
      <c r="H181" s="332">
        <v>665000</v>
      </c>
      <c r="I181" s="14">
        <f>('TEA values'!$C$24*I179*365*20+500000*(3/4))/2</f>
        <v>357225</v>
      </c>
      <c r="J181" s="14">
        <f>'TEA values'!E$24*150*365*20</f>
        <v>284700</v>
      </c>
      <c r="K181" s="15">
        <f>'TEA values'!G$24*150*365*20</f>
        <v>219000</v>
      </c>
      <c r="L181" s="14">
        <f>'TEA values'!I$24*150*365*20</f>
        <v>175200</v>
      </c>
      <c r="M181" s="14">
        <f>'TEA values'!K$24*150*365*20</f>
        <v>153300.00000000003</v>
      </c>
      <c r="N181" s="14">
        <f>'TEA values'!M$24*150*365*20</f>
        <v>142350</v>
      </c>
      <c r="O181" s="14">
        <f>'TEA values'!O$24*150*365*20</f>
        <v>131400</v>
      </c>
      <c r="P181" s="14">
        <f>'TEA values'!P$24*150*365*20</f>
        <v>98550</v>
      </c>
      <c r="Q181" s="14">
        <f>'TEA values'!Q$24*150*365*20</f>
        <v>98550</v>
      </c>
      <c r="R181" s="14">
        <f>'TEA values'!R$24*150*365*20</f>
        <v>98550</v>
      </c>
      <c r="S181" s="14">
        <f>'TEA values'!S$24*150*365*20</f>
        <v>98550</v>
      </c>
      <c r="T181" s="14">
        <f>'TEA values'!T$24*150*365*20</f>
        <v>98550</v>
      </c>
      <c r="U181" s="14">
        <f>'TEA values'!U$24*150*365*20</f>
        <v>98550</v>
      </c>
      <c r="V181" s="14">
        <f>'TEA values'!V$24*150*365*20</f>
        <v>98550</v>
      </c>
      <c r="W181" s="14">
        <f>'TEA values'!W$24*150*365*20</f>
        <v>98550</v>
      </c>
      <c r="X181" s="14">
        <f>'TEA values'!X$24*150*365*20</f>
        <v>98550</v>
      </c>
      <c r="Y181" s="14">
        <f>'TEA values'!Y$24*150*365*20</f>
        <v>98550</v>
      </c>
      <c r="Z181" s="14">
        <f>'TEA values'!Z$24*150*365*20</f>
        <v>98550</v>
      </c>
      <c r="AA181" s="14">
        <f>'TEA values'!AA$24*150*365*20</f>
        <v>98550</v>
      </c>
      <c r="AB181" s="14">
        <f>'TEA values'!AB$24*150*365*20</f>
        <v>98550</v>
      </c>
      <c r="AC181" s="14">
        <f>'TEA values'!AC$24*150*365*20</f>
        <v>98550</v>
      </c>
      <c r="AD181" s="14">
        <f>'TEA values'!AD$24*150*365*20</f>
        <v>98550</v>
      </c>
      <c r="AE181" s="14">
        <f>'TEA values'!AE$24*150*365*20</f>
        <v>98550</v>
      </c>
      <c r="AF181" t="s">
        <v>170</v>
      </c>
    </row>
    <row r="182" spans="2:32" hidden="1" x14ac:dyDescent="0.25">
      <c r="B182" t="s">
        <v>263</v>
      </c>
      <c r="C182" s="157" t="s">
        <v>292</v>
      </c>
      <c r="D182" s="329" t="s">
        <v>284</v>
      </c>
      <c r="E182" s="363">
        <v>20</v>
      </c>
      <c r="F182" s="22">
        <v>20</v>
      </c>
      <c r="G182" s="22">
        <v>20</v>
      </c>
      <c r="H182" s="330">
        <v>20</v>
      </c>
      <c r="I182" s="22">
        <v>20</v>
      </c>
      <c r="J182" s="22">
        <v>20</v>
      </c>
      <c r="K182" s="23">
        <v>20</v>
      </c>
      <c r="L182" s="22">
        <v>20</v>
      </c>
      <c r="M182" s="22">
        <v>20</v>
      </c>
      <c r="N182" s="22">
        <v>20</v>
      </c>
      <c r="O182" s="22">
        <v>20</v>
      </c>
      <c r="P182" s="22">
        <v>20</v>
      </c>
      <c r="Q182" s="22">
        <v>20</v>
      </c>
      <c r="R182" s="22">
        <v>20</v>
      </c>
      <c r="S182" s="22">
        <v>20</v>
      </c>
      <c r="T182" s="22">
        <v>20</v>
      </c>
      <c r="U182" s="22">
        <v>20</v>
      </c>
      <c r="V182" s="22">
        <v>20</v>
      </c>
      <c r="W182" s="22">
        <v>20</v>
      </c>
      <c r="X182" s="22">
        <v>20</v>
      </c>
      <c r="Y182" s="22">
        <v>20</v>
      </c>
      <c r="Z182" s="22">
        <v>20</v>
      </c>
      <c r="AA182" s="22">
        <v>20</v>
      </c>
      <c r="AB182" s="22">
        <v>20</v>
      </c>
      <c r="AC182" s="22">
        <v>20</v>
      </c>
      <c r="AD182" s="22">
        <v>20</v>
      </c>
      <c r="AE182" s="22">
        <v>20</v>
      </c>
    </row>
    <row r="183" spans="2:32" hidden="1" x14ac:dyDescent="0.25">
      <c r="B183" t="s">
        <v>263</v>
      </c>
      <c r="C183" s="157" t="s">
        <v>313</v>
      </c>
      <c r="D183" s="329" t="s">
        <v>19</v>
      </c>
      <c r="E183" s="363"/>
      <c r="F183" s="22"/>
      <c r="G183" s="22"/>
      <c r="H183" s="330"/>
      <c r="I183" s="22"/>
      <c r="J183" s="22"/>
      <c r="K183" s="23"/>
      <c r="L183" s="22"/>
      <c r="M183" s="22"/>
      <c r="N183" s="22"/>
      <c r="O183" s="22"/>
    </row>
    <row r="184" spans="2:32" hidden="1" x14ac:dyDescent="0.25">
      <c r="B184" t="s">
        <v>263</v>
      </c>
      <c r="C184" s="157"/>
      <c r="D184" s="329"/>
      <c r="E184" s="363"/>
      <c r="F184" s="22"/>
      <c r="G184" s="22"/>
      <c r="H184" s="330"/>
      <c r="I184" s="22"/>
      <c r="J184" s="22"/>
      <c r="K184" s="23"/>
      <c r="L184" s="22"/>
      <c r="M184" s="22"/>
      <c r="N184" s="22"/>
      <c r="O184" s="22"/>
    </row>
    <row r="185" spans="2:32" ht="18.75" x14ac:dyDescent="0.3">
      <c r="B185" t="s">
        <v>264</v>
      </c>
      <c r="C185" s="328" t="s">
        <v>264</v>
      </c>
      <c r="D185" s="335"/>
      <c r="E185" s="362"/>
      <c r="F185" s="326"/>
      <c r="G185" s="326"/>
      <c r="H185" s="327"/>
      <c r="I185" s="326"/>
      <c r="J185" s="326"/>
      <c r="K185" s="379"/>
      <c r="L185" s="326"/>
      <c r="M185" s="326"/>
      <c r="N185" s="326"/>
      <c r="O185" s="326"/>
      <c r="P185" s="326"/>
      <c r="Q185" s="326"/>
      <c r="R185" s="326"/>
      <c r="S185" s="326"/>
      <c r="T185" s="326"/>
      <c r="U185" s="326"/>
      <c r="V185" s="326"/>
      <c r="W185" s="326"/>
      <c r="X185" s="326"/>
      <c r="Y185" s="326"/>
      <c r="Z185" s="326"/>
      <c r="AA185" s="326"/>
      <c r="AB185" s="326"/>
      <c r="AC185" s="326"/>
      <c r="AD185" s="326"/>
      <c r="AE185" s="326"/>
      <c r="AF185" s="326"/>
    </row>
    <row r="186" spans="2:32" x14ac:dyDescent="0.25">
      <c r="B186" t="s">
        <v>264</v>
      </c>
      <c r="C186" s="157" t="s">
        <v>304</v>
      </c>
      <c r="D186" s="329" t="s">
        <v>269</v>
      </c>
      <c r="E186" s="363"/>
      <c r="F186" s="22"/>
      <c r="G186" s="22"/>
      <c r="H186" s="332"/>
      <c r="I186" s="14"/>
      <c r="J186" s="22">
        <v>12</v>
      </c>
      <c r="K186" s="23">
        <v>3</v>
      </c>
      <c r="L186" s="28">
        <v>10</v>
      </c>
      <c r="M186" s="22">
        <v>25</v>
      </c>
      <c r="N186" s="28">
        <v>45</v>
      </c>
      <c r="O186" s="22">
        <v>65</v>
      </c>
      <c r="P186" s="22">
        <v>85</v>
      </c>
      <c r="Q186" s="28">
        <v>105</v>
      </c>
      <c r="R186" s="22">
        <v>125</v>
      </c>
      <c r="S186" s="28">
        <v>145</v>
      </c>
      <c r="T186" s="22">
        <v>165</v>
      </c>
      <c r="U186" s="22">
        <v>185</v>
      </c>
      <c r="V186" s="22">
        <v>205</v>
      </c>
      <c r="W186" s="28">
        <v>225</v>
      </c>
      <c r="X186" s="22">
        <v>245</v>
      </c>
      <c r="Y186" s="22">
        <v>265</v>
      </c>
      <c r="Z186" s="28">
        <v>285</v>
      </c>
      <c r="AA186" s="22">
        <v>305</v>
      </c>
      <c r="AB186" s="28">
        <v>325</v>
      </c>
      <c r="AC186" s="22">
        <v>345</v>
      </c>
      <c r="AD186" s="22">
        <v>365</v>
      </c>
      <c r="AE186" s="22">
        <v>385</v>
      </c>
    </row>
    <row r="187" spans="2:32" x14ac:dyDescent="0.25">
      <c r="B187" t="s">
        <v>264</v>
      </c>
      <c r="C187" s="157" t="s">
        <v>280</v>
      </c>
      <c r="D187" s="329" t="s">
        <v>73</v>
      </c>
      <c r="E187" s="372">
        <v>1800000</v>
      </c>
      <c r="F187" s="346">
        <v>1800000</v>
      </c>
      <c r="G187" s="346">
        <v>1800000</v>
      </c>
      <c r="H187" s="350">
        <v>1800000</v>
      </c>
      <c r="I187" s="346">
        <v>1800000</v>
      </c>
      <c r="J187" s="346">
        <v>1800000</v>
      </c>
      <c r="K187" s="382">
        <v>1800000</v>
      </c>
      <c r="L187" s="346">
        <v>1800000</v>
      </c>
      <c r="M187" s="346">
        <v>1800000</v>
      </c>
      <c r="N187" s="346">
        <v>1800000</v>
      </c>
      <c r="O187" s="346">
        <v>1800000</v>
      </c>
      <c r="P187" s="346">
        <v>1800000</v>
      </c>
      <c r="Q187" s="346">
        <v>1800000</v>
      </c>
      <c r="R187" s="346">
        <v>1800000</v>
      </c>
      <c r="S187" s="346">
        <v>1800000</v>
      </c>
      <c r="T187" s="346">
        <v>1800000</v>
      </c>
      <c r="U187" s="346">
        <v>1800000</v>
      </c>
      <c r="V187" s="346">
        <v>1800000</v>
      </c>
      <c r="W187" s="346">
        <v>1800000</v>
      </c>
      <c r="X187" s="346">
        <v>1800000</v>
      </c>
      <c r="Y187" s="346">
        <v>1800000</v>
      </c>
      <c r="Z187" s="346">
        <v>1800000</v>
      </c>
      <c r="AA187" s="346">
        <v>1800000</v>
      </c>
      <c r="AB187" s="346">
        <v>1800000</v>
      </c>
      <c r="AC187" s="346">
        <v>1800000</v>
      </c>
      <c r="AD187" s="346">
        <v>1800000</v>
      </c>
      <c r="AE187" s="346">
        <v>1800000</v>
      </c>
    </row>
    <row r="188" spans="2:32" x14ac:dyDescent="0.25">
      <c r="B188" t="s">
        <v>264</v>
      </c>
      <c r="C188" s="157" t="s">
        <v>281</v>
      </c>
      <c r="D188" s="329" t="s">
        <v>308</v>
      </c>
      <c r="E188" s="367">
        <v>5000</v>
      </c>
      <c r="F188" s="20">
        <v>5000</v>
      </c>
      <c r="G188" s="20">
        <v>5000</v>
      </c>
      <c r="H188" s="336">
        <v>5000</v>
      </c>
      <c r="I188" s="20">
        <v>5000</v>
      </c>
      <c r="J188" s="20">
        <v>5000</v>
      </c>
      <c r="K188" s="21">
        <v>5000</v>
      </c>
      <c r="L188" s="20">
        <v>5000</v>
      </c>
      <c r="M188" s="20">
        <v>5000</v>
      </c>
      <c r="N188" s="20">
        <v>5000</v>
      </c>
      <c r="O188" s="20">
        <v>5000</v>
      </c>
      <c r="P188" s="20">
        <v>5000</v>
      </c>
      <c r="Q188" s="20">
        <v>5000</v>
      </c>
      <c r="R188" s="20">
        <v>5000</v>
      </c>
      <c r="S188" s="20">
        <v>5000</v>
      </c>
      <c r="T188" s="20">
        <v>5000</v>
      </c>
      <c r="U188" s="20">
        <v>5000</v>
      </c>
      <c r="V188" s="20">
        <v>5000</v>
      </c>
      <c r="W188" s="20">
        <v>5000</v>
      </c>
      <c r="X188" s="20">
        <v>5000</v>
      </c>
      <c r="Y188" s="20">
        <v>5000</v>
      </c>
      <c r="Z188" s="20">
        <v>5000</v>
      </c>
      <c r="AA188" s="20">
        <v>5000</v>
      </c>
      <c r="AB188" s="20">
        <v>5000</v>
      </c>
      <c r="AC188" s="20">
        <v>5000</v>
      </c>
      <c r="AD188" s="20">
        <v>5000</v>
      </c>
      <c r="AE188" s="20">
        <v>5000</v>
      </c>
    </row>
    <row r="189" spans="2:32" x14ac:dyDescent="0.25">
      <c r="B189" t="s">
        <v>264</v>
      </c>
      <c r="C189" s="157" t="s">
        <v>316</v>
      </c>
      <c r="D189" s="329" t="s">
        <v>274</v>
      </c>
      <c r="E189" s="367"/>
      <c r="F189" s="20"/>
      <c r="G189" s="20"/>
      <c r="H189" s="336"/>
      <c r="I189" s="20"/>
      <c r="J189" s="20"/>
      <c r="K189" s="21"/>
      <c r="L189" s="20"/>
      <c r="M189" s="20"/>
      <c r="N189" s="20"/>
      <c r="O189" s="20"/>
    </row>
    <row r="190" spans="2:32" x14ac:dyDescent="0.25">
      <c r="B190" t="s">
        <v>264</v>
      </c>
      <c r="C190" s="157" t="s">
        <v>271</v>
      </c>
      <c r="D190" s="329" t="s">
        <v>301</v>
      </c>
      <c r="E190" s="369"/>
      <c r="H190" s="339"/>
      <c r="K190" s="52"/>
    </row>
    <row r="191" spans="2:32" x14ac:dyDescent="0.25">
      <c r="B191" t="s">
        <v>264</v>
      </c>
      <c r="C191" s="157" t="s">
        <v>275</v>
      </c>
      <c r="D191" s="329"/>
      <c r="E191" s="365"/>
      <c r="F191" s="14"/>
      <c r="G191" s="14"/>
      <c r="H191" s="15"/>
      <c r="I191" s="15">
        <f>'TEA values'!C$24*1000*365*20</f>
        <v>2263000</v>
      </c>
      <c r="J191" s="15">
        <f>'TEA values'!E$24*1000*365*20</f>
        <v>1898000</v>
      </c>
      <c r="K191" s="15">
        <f>'TEA values'!F$24*1000*365*20</f>
        <v>1606000</v>
      </c>
      <c r="L191" s="14">
        <f>'TEA values'!H$24*1000*365*20</f>
        <v>1533000</v>
      </c>
      <c r="M191" s="14">
        <f>'TEA values'!J$24*1000*365*20</f>
        <v>1460000</v>
      </c>
      <c r="N191" s="14">
        <f>'TEA values'!L$24*1000*365*20</f>
        <v>949000</v>
      </c>
      <c r="O191" s="14">
        <f>'TEA values'!N$24*1000*365*20</f>
        <v>730000</v>
      </c>
      <c r="P191" s="14">
        <f>'TEA values'!O$24*1000*365*20</f>
        <v>876000</v>
      </c>
      <c r="Q191" s="14">
        <f>'TEA values'!P$24*1000*365*20</f>
        <v>657000</v>
      </c>
      <c r="R191" s="14">
        <f>'TEA values'!Q$24*1000*365*20</f>
        <v>657000</v>
      </c>
      <c r="S191" s="14">
        <f>'TEA values'!R$24*1000*365*20</f>
        <v>657000</v>
      </c>
      <c r="T191" s="14">
        <f>'TEA values'!S$24*1000*365*20</f>
        <v>657000</v>
      </c>
      <c r="U191" s="14">
        <f>'TEA values'!T$24*1000*365*20</f>
        <v>657000</v>
      </c>
      <c r="V191" s="14">
        <f>'TEA values'!U$24*1000*365*20</f>
        <v>657000</v>
      </c>
      <c r="W191" s="14">
        <f>'TEA values'!V$24*1000*365*20</f>
        <v>657000</v>
      </c>
      <c r="X191" s="14">
        <f>'TEA values'!W$24*1000*365*20</f>
        <v>657000</v>
      </c>
      <c r="Y191" s="14">
        <f>'TEA values'!X$24*1000*365*20</f>
        <v>657000</v>
      </c>
      <c r="Z191" s="14">
        <f>'TEA values'!Y$24*1000*365*20</f>
        <v>657000</v>
      </c>
      <c r="AA191" s="14">
        <f>'TEA values'!Z$24*1000*365*20</f>
        <v>657000</v>
      </c>
      <c r="AB191" s="14">
        <f>'TEA values'!AA$24*1000*365*20</f>
        <v>657000</v>
      </c>
      <c r="AC191" s="14">
        <f>'TEA values'!AB$24*1000*365*20</f>
        <v>657000</v>
      </c>
      <c r="AD191" s="14">
        <f>'TEA values'!AC$24*1000*365*20</f>
        <v>657000</v>
      </c>
      <c r="AE191" s="14">
        <f>'TEA values'!AD$24*1000*365*20</f>
        <v>657000</v>
      </c>
    </row>
    <row r="192" spans="2:32" x14ac:dyDescent="0.25">
      <c r="B192" t="s">
        <v>264</v>
      </c>
      <c r="C192" s="157"/>
      <c r="D192" s="329"/>
      <c r="E192" s="367"/>
      <c r="F192" s="20"/>
      <c r="G192" s="20"/>
      <c r="H192" s="336"/>
      <c r="I192" s="20"/>
      <c r="J192" s="20"/>
      <c r="K192" s="21"/>
      <c r="L192" s="20"/>
      <c r="M192" s="20"/>
      <c r="N192" s="20"/>
      <c r="O192" s="20"/>
    </row>
    <row r="193" spans="2:32" ht="18.75" hidden="1" x14ac:dyDescent="0.3">
      <c r="B193" t="s">
        <v>282</v>
      </c>
      <c r="C193" s="328" t="s">
        <v>282</v>
      </c>
      <c r="D193" s="335"/>
      <c r="E193" s="362"/>
      <c r="F193" s="326"/>
      <c r="G193" s="326"/>
      <c r="H193" s="327"/>
      <c r="I193" s="326"/>
      <c r="J193" s="326"/>
      <c r="K193" s="379"/>
      <c r="L193" s="326"/>
      <c r="M193" s="326"/>
      <c r="N193" s="326"/>
      <c r="O193" s="326"/>
      <c r="P193" s="326"/>
      <c r="Q193" s="326"/>
      <c r="R193" s="326"/>
      <c r="S193" s="326"/>
      <c r="T193" s="326"/>
      <c r="U193" s="326"/>
      <c r="V193" s="326"/>
      <c r="W193" s="326"/>
      <c r="X193" s="326"/>
      <c r="Y193" s="326"/>
      <c r="Z193" s="326"/>
      <c r="AA193" s="326"/>
      <c r="AB193" s="326"/>
      <c r="AC193" s="326"/>
      <c r="AD193" s="326"/>
      <c r="AE193" s="326"/>
      <c r="AF193" s="326"/>
    </row>
    <row r="194" spans="2:32" hidden="1" x14ac:dyDescent="0.25">
      <c r="B194" t="s">
        <v>282</v>
      </c>
      <c r="C194" s="157" t="s">
        <v>304</v>
      </c>
      <c r="D194" s="329" t="s">
        <v>269</v>
      </c>
      <c r="E194" s="363"/>
      <c r="F194" s="22"/>
      <c r="G194" s="22"/>
      <c r="H194" s="330"/>
      <c r="I194" s="22"/>
      <c r="K194" s="52"/>
    </row>
    <row r="195" spans="2:32" hidden="1" x14ac:dyDescent="0.25">
      <c r="B195" t="s">
        <v>282</v>
      </c>
      <c r="C195" s="157" t="s">
        <v>277</v>
      </c>
      <c r="D195" s="329" t="s">
        <v>276</v>
      </c>
      <c r="E195" s="363"/>
      <c r="F195" s="22"/>
      <c r="G195" s="22"/>
      <c r="H195" s="330"/>
      <c r="I195" s="22"/>
      <c r="K195" s="52"/>
    </row>
    <row r="196" spans="2:32" hidden="1" x14ac:dyDescent="0.25">
      <c r="B196" t="s">
        <v>282</v>
      </c>
      <c r="C196" s="157" t="s">
        <v>271</v>
      </c>
      <c r="D196" s="329" t="s">
        <v>301</v>
      </c>
      <c r="E196" s="363">
        <v>150</v>
      </c>
      <c r="F196" s="22">
        <v>150</v>
      </c>
      <c r="G196" s="22">
        <v>150</v>
      </c>
      <c r="H196" s="330">
        <v>150</v>
      </c>
      <c r="I196" s="22">
        <v>150</v>
      </c>
      <c r="J196" s="22">
        <v>150</v>
      </c>
      <c r="K196" s="23">
        <v>150</v>
      </c>
      <c r="L196" s="22">
        <v>150</v>
      </c>
      <c r="M196" s="22">
        <v>150</v>
      </c>
      <c r="N196" s="22">
        <v>150</v>
      </c>
      <c r="O196" s="22">
        <v>150</v>
      </c>
      <c r="P196" s="22">
        <v>150</v>
      </c>
      <c r="Q196" s="22">
        <v>150</v>
      </c>
      <c r="R196" s="22">
        <v>150</v>
      </c>
      <c r="S196" s="22">
        <v>150</v>
      </c>
      <c r="T196" s="22">
        <v>150</v>
      </c>
      <c r="U196" s="22">
        <v>150</v>
      </c>
      <c r="V196" s="22">
        <v>150</v>
      </c>
      <c r="W196" s="22">
        <v>150</v>
      </c>
      <c r="X196" s="22">
        <v>150</v>
      </c>
      <c r="Y196" s="22">
        <v>150</v>
      </c>
      <c r="Z196" s="22">
        <v>150</v>
      </c>
      <c r="AA196" s="22">
        <v>150</v>
      </c>
      <c r="AB196" s="22">
        <v>150</v>
      </c>
      <c r="AC196" s="22">
        <v>150</v>
      </c>
      <c r="AD196" s="22">
        <v>150</v>
      </c>
      <c r="AE196" s="22">
        <v>150</v>
      </c>
    </row>
    <row r="197" spans="2:32" hidden="1" x14ac:dyDescent="0.25">
      <c r="B197" t="s">
        <v>282</v>
      </c>
      <c r="C197" s="157" t="s">
        <v>275</v>
      </c>
      <c r="D197" s="329"/>
      <c r="E197" s="363"/>
      <c r="F197" s="22"/>
      <c r="G197" s="22"/>
      <c r="H197" s="332">
        <v>665000</v>
      </c>
      <c r="I197" s="14">
        <f>('TEA values'!$C$24*I196*365*20+500000*(3/4))/2</f>
        <v>357225</v>
      </c>
      <c r="J197" s="14">
        <f>'TEA values'!E$24*150*365*20</f>
        <v>284700</v>
      </c>
      <c r="K197" s="15">
        <f>'TEA values'!G$24*150*365*20</f>
        <v>219000</v>
      </c>
      <c r="L197" s="14">
        <f>'TEA values'!I$24*150*365*20</f>
        <v>175200</v>
      </c>
      <c r="M197" s="14">
        <f>'TEA values'!K$24*150*365*20</f>
        <v>153300.00000000003</v>
      </c>
      <c r="N197" s="14">
        <f>'TEA values'!M$24*150*365*20</f>
        <v>142350</v>
      </c>
      <c r="O197" s="14">
        <f>'TEA values'!O$24*150*365*20</f>
        <v>131400</v>
      </c>
    </row>
    <row r="198" spans="2:32" hidden="1" x14ac:dyDescent="0.25">
      <c r="B198" t="s">
        <v>282</v>
      </c>
      <c r="C198" s="157" t="s">
        <v>292</v>
      </c>
      <c r="D198" s="329" t="s">
        <v>284</v>
      </c>
      <c r="E198" s="363">
        <v>20</v>
      </c>
      <c r="F198" s="22">
        <v>20</v>
      </c>
      <c r="G198" s="22">
        <v>20</v>
      </c>
      <c r="H198" s="330">
        <v>20</v>
      </c>
      <c r="I198" s="22">
        <v>20</v>
      </c>
      <c r="J198" s="22">
        <v>20</v>
      </c>
      <c r="K198" s="23">
        <v>20</v>
      </c>
      <c r="L198" s="22">
        <v>20</v>
      </c>
      <c r="M198" s="22">
        <v>20</v>
      </c>
      <c r="N198" s="22">
        <v>20</v>
      </c>
      <c r="O198" s="22">
        <v>20</v>
      </c>
      <c r="P198" s="22">
        <v>20</v>
      </c>
      <c r="Q198" s="22">
        <v>20</v>
      </c>
      <c r="R198" s="22">
        <v>20</v>
      </c>
      <c r="S198" s="22">
        <v>20</v>
      </c>
      <c r="T198" s="22">
        <v>20</v>
      </c>
      <c r="U198" s="22">
        <v>20</v>
      </c>
      <c r="V198" s="22">
        <v>20</v>
      </c>
      <c r="W198" s="22">
        <v>20</v>
      </c>
      <c r="X198" s="22">
        <v>20</v>
      </c>
      <c r="Y198" s="22">
        <v>20</v>
      </c>
      <c r="Z198" s="22">
        <v>20</v>
      </c>
      <c r="AA198" s="22">
        <v>20</v>
      </c>
      <c r="AB198" s="22">
        <v>20</v>
      </c>
      <c r="AC198" s="22">
        <v>20</v>
      </c>
      <c r="AD198" s="22">
        <v>20</v>
      </c>
      <c r="AE198" s="22">
        <v>20</v>
      </c>
    </row>
    <row r="199" spans="2:32" hidden="1" x14ac:dyDescent="0.25">
      <c r="B199" t="s">
        <v>282</v>
      </c>
      <c r="C199" s="157" t="s">
        <v>313</v>
      </c>
      <c r="D199" s="329" t="s">
        <v>19</v>
      </c>
      <c r="E199" s="363"/>
      <c r="F199" s="22"/>
      <c r="G199" s="22"/>
      <c r="H199" s="330"/>
      <c r="I199" s="22"/>
      <c r="J199" s="22"/>
      <c r="K199" s="23"/>
      <c r="L199" s="22"/>
      <c r="M199" s="22"/>
      <c r="N199" s="22"/>
      <c r="O199" s="22"/>
    </row>
    <row r="200" spans="2:32" hidden="1" x14ac:dyDescent="0.25">
      <c r="B200" t="s">
        <v>282</v>
      </c>
      <c r="C200" s="157"/>
      <c r="D200" s="329"/>
      <c r="E200" s="363"/>
      <c r="F200" s="22"/>
      <c r="G200" s="22"/>
      <c r="H200" s="330"/>
      <c r="I200" s="22"/>
      <c r="K200" s="52"/>
    </row>
    <row r="201" spans="2:32" ht="18.75" hidden="1" x14ac:dyDescent="0.3">
      <c r="B201" t="s">
        <v>283</v>
      </c>
      <c r="C201" s="328" t="s">
        <v>283</v>
      </c>
      <c r="D201" s="335"/>
      <c r="E201" s="362"/>
      <c r="F201" s="326"/>
      <c r="G201" s="326"/>
      <c r="H201" s="327"/>
      <c r="I201" s="326"/>
      <c r="J201" s="326"/>
      <c r="K201" s="379"/>
      <c r="L201" s="326"/>
      <c r="M201" s="326"/>
      <c r="N201" s="326"/>
      <c r="O201" s="326"/>
      <c r="P201" s="326"/>
      <c r="Q201" s="326"/>
      <c r="R201" s="326"/>
      <c r="S201" s="326"/>
      <c r="T201" s="326"/>
      <c r="U201" s="326"/>
      <c r="V201" s="326"/>
      <c r="W201" s="326"/>
      <c r="X201" s="326"/>
      <c r="Y201" s="326"/>
      <c r="Z201" s="326"/>
      <c r="AA201" s="326"/>
      <c r="AB201" s="326"/>
      <c r="AC201" s="326"/>
      <c r="AD201" s="326"/>
      <c r="AE201" s="326"/>
      <c r="AF201" s="326"/>
    </row>
    <row r="202" spans="2:32" hidden="1" x14ac:dyDescent="0.25">
      <c r="B202" t="s">
        <v>283</v>
      </c>
      <c r="C202" s="157" t="s">
        <v>279</v>
      </c>
      <c r="D202" s="329" t="s">
        <v>269</v>
      </c>
      <c r="E202" s="363"/>
      <c r="F202" s="22"/>
      <c r="G202" s="22"/>
      <c r="H202" s="330"/>
      <c r="I202" s="22"/>
      <c r="K202" s="52"/>
    </row>
    <row r="203" spans="2:32" hidden="1" x14ac:dyDescent="0.25">
      <c r="B203" t="s">
        <v>283</v>
      </c>
      <c r="C203" s="157" t="s">
        <v>303</v>
      </c>
      <c r="D203" s="329" t="s">
        <v>73</v>
      </c>
      <c r="E203" s="363"/>
      <c r="F203" s="22"/>
      <c r="G203" s="22"/>
      <c r="H203" s="330"/>
      <c r="I203" s="22"/>
      <c r="K203" s="52"/>
    </row>
    <row r="204" spans="2:32" hidden="1" x14ac:dyDescent="0.25">
      <c r="B204" t="s">
        <v>283</v>
      </c>
      <c r="C204" s="157" t="s">
        <v>285</v>
      </c>
      <c r="D204" s="329" t="s">
        <v>284</v>
      </c>
      <c r="E204" s="363"/>
      <c r="F204" s="22"/>
      <c r="G204" s="22"/>
      <c r="H204" s="330"/>
      <c r="I204" s="22"/>
      <c r="K204" s="52"/>
    </row>
    <row r="205" spans="2:32" hidden="1" x14ac:dyDescent="0.25">
      <c r="B205" t="s">
        <v>283</v>
      </c>
      <c r="C205" s="157" t="s">
        <v>271</v>
      </c>
      <c r="D205" s="329" t="s">
        <v>301</v>
      </c>
      <c r="E205" s="363">
        <v>150</v>
      </c>
      <c r="F205" s="22">
        <v>150</v>
      </c>
      <c r="G205" s="22">
        <v>150</v>
      </c>
      <c r="H205" s="330">
        <v>150</v>
      </c>
      <c r="I205" s="22">
        <v>150</v>
      </c>
      <c r="J205">
        <v>150</v>
      </c>
      <c r="K205" s="23">
        <v>150</v>
      </c>
      <c r="L205">
        <v>150</v>
      </c>
      <c r="M205" s="22">
        <v>150</v>
      </c>
      <c r="N205">
        <v>150</v>
      </c>
      <c r="O205">
        <v>150</v>
      </c>
      <c r="P205">
        <v>150</v>
      </c>
      <c r="Q205">
        <v>150</v>
      </c>
      <c r="R205">
        <v>150</v>
      </c>
      <c r="S205">
        <v>150</v>
      </c>
      <c r="T205">
        <v>150</v>
      </c>
      <c r="U205">
        <v>150</v>
      </c>
      <c r="V205">
        <v>150</v>
      </c>
      <c r="W205">
        <v>150</v>
      </c>
      <c r="X205">
        <v>150</v>
      </c>
      <c r="Y205">
        <v>150</v>
      </c>
      <c r="Z205">
        <v>150</v>
      </c>
      <c r="AA205">
        <v>150</v>
      </c>
      <c r="AB205">
        <v>150</v>
      </c>
      <c r="AC205">
        <v>150</v>
      </c>
      <c r="AD205">
        <v>150</v>
      </c>
      <c r="AE205">
        <v>150</v>
      </c>
    </row>
    <row r="206" spans="2:32" hidden="1" x14ac:dyDescent="0.25">
      <c r="B206" t="s">
        <v>283</v>
      </c>
      <c r="C206" s="157" t="s">
        <v>275</v>
      </c>
      <c r="D206" s="329" t="s">
        <v>274</v>
      </c>
      <c r="E206" s="363"/>
      <c r="F206" s="22"/>
      <c r="G206" s="22"/>
      <c r="H206" s="332">
        <v>665000</v>
      </c>
      <c r="I206" s="14">
        <f>('TEA values'!$C$24*I205*365*20+500000*(3/4))/2</f>
        <v>357225</v>
      </c>
      <c r="J206" s="14">
        <f>'TEA values'!E$24*150*365*20</f>
        <v>284700</v>
      </c>
      <c r="K206" s="15">
        <f>'TEA values'!G$24*150*365*20</f>
        <v>219000</v>
      </c>
      <c r="L206" s="14">
        <f>'TEA values'!I$24*150*365*20</f>
        <v>175200</v>
      </c>
      <c r="M206" s="14">
        <f>'TEA values'!K$24*150*365*20</f>
        <v>153300.00000000003</v>
      </c>
      <c r="N206" s="14">
        <f>'TEA values'!M$24*150*365*20</f>
        <v>142350</v>
      </c>
      <c r="O206" s="14">
        <f>'TEA values'!O$24*150*365*20</f>
        <v>131400</v>
      </c>
      <c r="P206" s="14">
        <f>'TEA values'!P$24*150*365*20</f>
        <v>98550</v>
      </c>
      <c r="Q206" s="14">
        <f>'TEA values'!Q$24*150*365*20</f>
        <v>98550</v>
      </c>
      <c r="R206" s="14">
        <f>'TEA values'!R$24*150*365*20</f>
        <v>98550</v>
      </c>
      <c r="S206" s="14">
        <f>'TEA values'!S$24*150*365*20</f>
        <v>98550</v>
      </c>
      <c r="T206" s="14">
        <f>'TEA values'!T$24*150*365*20</f>
        <v>98550</v>
      </c>
      <c r="U206" s="14">
        <f>'TEA values'!U$24*150*365*20</f>
        <v>98550</v>
      </c>
      <c r="V206" s="14">
        <f>'TEA values'!V$24*150*365*20</f>
        <v>98550</v>
      </c>
      <c r="W206" s="14">
        <f>'TEA values'!W$24*150*365*20</f>
        <v>98550</v>
      </c>
      <c r="X206" s="14">
        <f>'TEA values'!X$24*150*365*20</f>
        <v>98550</v>
      </c>
      <c r="Y206" s="14">
        <f>'TEA values'!Y$24*150*365*20</f>
        <v>98550</v>
      </c>
      <c r="Z206" s="14">
        <f>'TEA values'!Z$24*150*365*20</f>
        <v>98550</v>
      </c>
      <c r="AA206" s="14">
        <f>'TEA values'!AA$24*150*365*20</f>
        <v>98550</v>
      </c>
      <c r="AB206" s="14">
        <f>'TEA values'!AB$24*150*365*20</f>
        <v>98550</v>
      </c>
      <c r="AC206" s="14">
        <f>'TEA values'!AC$24*150*365*20</f>
        <v>98550</v>
      </c>
      <c r="AD206" s="14">
        <f>'TEA values'!AD$24*150*365*20</f>
        <v>98550</v>
      </c>
      <c r="AE206" s="14">
        <f>'TEA values'!AE$24*150*365*20</f>
        <v>98550</v>
      </c>
    </row>
    <row r="207" spans="2:32" hidden="1" x14ac:dyDescent="0.25">
      <c r="B207" t="s">
        <v>283</v>
      </c>
      <c r="C207" s="157" t="s">
        <v>292</v>
      </c>
      <c r="D207" s="329" t="s">
        <v>284</v>
      </c>
      <c r="E207" s="363">
        <v>20</v>
      </c>
      <c r="F207" s="22">
        <v>20</v>
      </c>
      <c r="G207" s="22">
        <v>20</v>
      </c>
      <c r="H207" s="330">
        <v>20</v>
      </c>
      <c r="I207" s="22">
        <v>20</v>
      </c>
      <c r="J207" s="22">
        <v>20</v>
      </c>
      <c r="K207" s="23">
        <v>20</v>
      </c>
      <c r="L207" s="22">
        <v>20</v>
      </c>
      <c r="M207" s="22">
        <v>20</v>
      </c>
      <c r="N207" s="22">
        <v>20</v>
      </c>
      <c r="O207" s="22">
        <v>20</v>
      </c>
      <c r="P207" s="22">
        <v>20</v>
      </c>
      <c r="Q207" s="22">
        <v>20</v>
      </c>
      <c r="R207" s="22">
        <v>20</v>
      </c>
      <c r="S207" s="22">
        <v>20</v>
      </c>
      <c r="T207" s="22">
        <v>20</v>
      </c>
      <c r="U207" s="22">
        <v>20</v>
      </c>
      <c r="V207" s="22">
        <v>20</v>
      </c>
      <c r="W207" s="22">
        <v>20</v>
      </c>
      <c r="X207" s="22">
        <v>20</v>
      </c>
      <c r="Y207" s="22">
        <v>20</v>
      </c>
      <c r="Z207" s="22">
        <v>20</v>
      </c>
      <c r="AA207" s="22">
        <v>20</v>
      </c>
      <c r="AB207" s="22">
        <v>20</v>
      </c>
      <c r="AC207" s="22">
        <v>20</v>
      </c>
      <c r="AD207" s="22">
        <v>20</v>
      </c>
      <c r="AE207" s="22">
        <v>20</v>
      </c>
    </row>
    <row r="208" spans="2:32" hidden="1" x14ac:dyDescent="0.25">
      <c r="B208" t="s">
        <v>283</v>
      </c>
      <c r="C208" s="157" t="s">
        <v>313</v>
      </c>
      <c r="D208" s="329" t="s">
        <v>19</v>
      </c>
      <c r="E208" s="363"/>
      <c r="F208" s="22"/>
      <c r="G208" s="22"/>
      <c r="H208" s="330"/>
      <c r="I208" s="22"/>
      <c r="J208" s="22"/>
      <c r="K208" s="23"/>
      <c r="L208" s="22"/>
      <c r="M208" s="22"/>
      <c r="N208" s="22"/>
      <c r="O208" s="22"/>
    </row>
    <row r="209" spans="2:32" hidden="1" x14ac:dyDescent="0.25">
      <c r="B209" t="s">
        <v>283</v>
      </c>
      <c r="C209" s="157"/>
      <c r="D209" s="329"/>
      <c r="E209" s="363"/>
      <c r="F209" s="22"/>
      <c r="G209" s="22"/>
      <c r="H209" s="330"/>
      <c r="I209" s="22"/>
      <c r="K209" s="52"/>
    </row>
    <row r="210" spans="2:32" ht="18.75" hidden="1" x14ac:dyDescent="0.3">
      <c r="B210" t="s">
        <v>265</v>
      </c>
      <c r="C210" s="328" t="s">
        <v>265</v>
      </c>
      <c r="D210" s="335"/>
      <c r="E210" s="362"/>
      <c r="F210" s="326"/>
      <c r="G210" s="326"/>
      <c r="H210" s="327"/>
      <c r="I210" s="326"/>
      <c r="J210" s="326"/>
      <c r="K210" s="379"/>
      <c r="L210" s="326"/>
      <c r="M210" s="326"/>
      <c r="N210" s="326"/>
      <c r="O210" s="326"/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  <c r="AF210" s="326"/>
    </row>
    <row r="211" spans="2:32" hidden="1" x14ac:dyDescent="0.25">
      <c r="B211" t="s">
        <v>265</v>
      </c>
      <c r="C211" s="157" t="s">
        <v>304</v>
      </c>
      <c r="D211" s="329" t="s">
        <v>269</v>
      </c>
      <c r="E211" s="365"/>
      <c r="F211" s="14"/>
      <c r="G211" s="14"/>
      <c r="H211" s="332"/>
      <c r="I211" s="14"/>
      <c r="K211" s="52"/>
    </row>
    <row r="212" spans="2:32" hidden="1" x14ac:dyDescent="0.25">
      <c r="B212" t="s">
        <v>265</v>
      </c>
      <c r="C212" s="157" t="s">
        <v>267</v>
      </c>
      <c r="D212" s="329" t="s">
        <v>73</v>
      </c>
      <c r="E212" s="365"/>
      <c r="F212" s="14"/>
      <c r="G212" s="14"/>
      <c r="H212" s="332"/>
      <c r="I212" s="14"/>
      <c r="K212" s="52"/>
    </row>
    <row r="213" spans="2:32" hidden="1" x14ac:dyDescent="0.25">
      <c r="B213" t="s">
        <v>265</v>
      </c>
      <c r="C213" s="157" t="s">
        <v>270</v>
      </c>
      <c r="D213" s="329" t="s">
        <v>38</v>
      </c>
      <c r="E213" s="364">
        <f>('TEA values'!$C$17-('TEA values'!$C$25+'TEA values'!$C$26))</f>
        <v>0.28000000000000003</v>
      </c>
      <c r="F213" s="19">
        <f>('TEA values'!$C$17-('TEA values'!$C$25+'TEA values'!$C$26))</f>
        <v>0.28000000000000003</v>
      </c>
      <c r="G213" s="19">
        <f>('TEA values'!$C$17-('TEA values'!$C$25+'TEA values'!$C$26))</f>
        <v>0.28000000000000003</v>
      </c>
      <c r="H213" s="331">
        <f>('TEA values'!$C$17-('TEA values'!$C$25+'TEA values'!$C$26))</f>
        <v>0.28000000000000003</v>
      </c>
      <c r="I213" s="19">
        <f>('TEA values'!$C$17-('TEA values'!$C$25+'TEA values'!$C$26))</f>
        <v>0.28000000000000003</v>
      </c>
      <c r="J213" s="19">
        <f>('TEA values'!$C$17-('TEA values'!$C$25+'TEA values'!$C$26))</f>
        <v>0.28000000000000003</v>
      </c>
      <c r="K213" s="32">
        <f>('TEA values'!$C$17-('TEA values'!$C$25+'TEA values'!$C$26))</f>
        <v>0.28000000000000003</v>
      </c>
      <c r="L213" s="19">
        <f>('TEA values'!$C$17-('TEA values'!$C$25+'TEA values'!$C$26))</f>
        <v>0.28000000000000003</v>
      </c>
      <c r="M213" s="19">
        <f>('TEA values'!$C$17-('TEA values'!$C$25+'TEA values'!$C$26))</f>
        <v>0.28000000000000003</v>
      </c>
      <c r="N213" s="19">
        <f>('TEA values'!$C$17-('TEA values'!$C$25+'TEA values'!$C$26))</f>
        <v>0.28000000000000003</v>
      </c>
      <c r="O213" s="19">
        <f>('TEA values'!$C$17-('TEA values'!$C$25+'TEA values'!$C$26))</f>
        <v>0.28000000000000003</v>
      </c>
      <c r="P213" s="19">
        <f>('TEA values'!$C$17-('TEA values'!$C$25+'TEA values'!$C$26))</f>
        <v>0.28000000000000003</v>
      </c>
      <c r="Q213" s="19">
        <f>('TEA values'!$C$17-('TEA values'!$C$25+'TEA values'!$C$26))</f>
        <v>0.28000000000000003</v>
      </c>
      <c r="R213" s="19">
        <f>('TEA values'!$C$17-('TEA values'!$C$25+'TEA values'!$C$26))</f>
        <v>0.28000000000000003</v>
      </c>
      <c r="S213" s="19">
        <f>('TEA values'!$C$17-('TEA values'!$C$25+'TEA values'!$C$26))</f>
        <v>0.28000000000000003</v>
      </c>
      <c r="T213" s="19">
        <f>('TEA values'!$C$17-('TEA values'!$C$25+'TEA values'!$C$26))</f>
        <v>0.28000000000000003</v>
      </c>
      <c r="U213" s="19">
        <f>('TEA values'!$C$17-('TEA values'!$C$25+'TEA values'!$C$26))</f>
        <v>0.28000000000000003</v>
      </c>
      <c r="V213" s="19">
        <f>('TEA values'!$C$17-('TEA values'!$C$25+'TEA values'!$C$26))</f>
        <v>0.28000000000000003</v>
      </c>
      <c r="W213" s="19">
        <f>('TEA values'!$C$17-('TEA values'!$C$25+'TEA values'!$C$26))</f>
        <v>0.28000000000000003</v>
      </c>
      <c r="X213" s="19">
        <f>('TEA values'!$C$17-('TEA values'!$C$25+'TEA values'!$C$26))</f>
        <v>0.28000000000000003</v>
      </c>
      <c r="Y213" s="19">
        <f>('TEA values'!$C$17-('TEA values'!$C$25+'TEA values'!$C$26))</f>
        <v>0.28000000000000003</v>
      </c>
      <c r="Z213" s="19">
        <f>('TEA values'!$C$17-('TEA values'!$C$25+'TEA values'!$C$26))</f>
        <v>0.28000000000000003</v>
      </c>
      <c r="AA213" s="19">
        <f>('TEA values'!$C$17-('TEA values'!$C$25+'TEA values'!$C$26))</f>
        <v>0.28000000000000003</v>
      </c>
      <c r="AB213" s="19">
        <f>('TEA values'!$C$17-('TEA values'!$C$25+'TEA values'!$C$26))</f>
        <v>0.28000000000000003</v>
      </c>
      <c r="AC213" s="19">
        <f>('TEA values'!$C$17-('TEA values'!$C$25+'TEA values'!$C$26))</f>
        <v>0.28000000000000003</v>
      </c>
      <c r="AD213" s="19">
        <f>('TEA values'!$C$17-('TEA values'!$C$25+'TEA values'!$C$26))</f>
        <v>0.28000000000000003</v>
      </c>
      <c r="AE213" s="19">
        <f>('TEA values'!$C$17-('TEA values'!$C$25+'TEA values'!$C$26))</f>
        <v>0.28000000000000003</v>
      </c>
    </row>
    <row r="214" spans="2:32" hidden="1" x14ac:dyDescent="0.25">
      <c r="B214" t="s">
        <v>265</v>
      </c>
      <c r="C214" s="157" t="s">
        <v>271</v>
      </c>
      <c r="D214" s="329" t="s">
        <v>301</v>
      </c>
      <c r="E214" s="363">
        <v>150</v>
      </c>
      <c r="F214" s="22">
        <v>150</v>
      </c>
      <c r="G214" s="22">
        <v>150</v>
      </c>
      <c r="H214" s="330">
        <v>150</v>
      </c>
      <c r="I214" s="22">
        <v>150</v>
      </c>
      <c r="J214" s="22">
        <v>150</v>
      </c>
      <c r="K214" s="23">
        <v>150</v>
      </c>
      <c r="L214" s="22">
        <v>150</v>
      </c>
      <c r="M214" s="22">
        <v>150</v>
      </c>
      <c r="N214" s="22">
        <v>150</v>
      </c>
      <c r="O214" s="22">
        <v>150</v>
      </c>
      <c r="P214" s="22">
        <v>151</v>
      </c>
      <c r="Q214" s="22">
        <v>152</v>
      </c>
      <c r="R214" s="22">
        <v>153</v>
      </c>
      <c r="S214" s="22">
        <v>154</v>
      </c>
      <c r="T214" s="22">
        <v>155</v>
      </c>
      <c r="U214" s="22">
        <v>156</v>
      </c>
      <c r="V214" s="22">
        <v>157</v>
      </c>
      <c r="W214" s="22">
        <v>158</v>
      </c>
      <c r="X214" s="22">
        <v>159</v>
      </c>
      <c r="Y214" s="22">
        <v>160</v>
      </c>
      <c r="Z214" s="22">
        <v>161</v>
      </c>
      <c r="AA214" s="22">
        <v>162</v>
      </c>
      <c r="AB214" s="22">
        <v>163</v>
      </c>
      <c r="AC214" s="22">
        <v>164</v>
      </c>
      <c r="AD214" s="22">
        <v>165</v>
      </c>
      <c r="AE214" s="22">
        <v>166</v>
      </c>
    </row>
    <row r="215" spans="2:32" hidden="1" x14ac:dyDescent="0.25">
      <c r="B215" t="s">
        <v>265</v>
      </c>
      <c r="C215" s="157" t="s">
        <v>272</v>
      </c>
      <c r="D215" s="329" t="s">
        <v>273</v>
      </c>
      <c r="E215" s="363">
        <f t="shared" ref="E215:AE215" si="33">365*0.9</f>
        <v>328.5</v>
      </c>
      <c r="F215" s="22">
        <f t="shared" si="33"/>
        <v>328.5</v>
      </c>
      <c r="G215" s="22">
        <f t="shared" si="33"/>
        <v>328.5</v>
      </c>
      <c r="H215" s="330">
        <f>365*0.9</f>
        <v>328.5</v>
      </c>
      <c r="I215" s="22">
        <f t="shared" si="33"/>
        <v>328.5</v>
      </c>
      <c r="J215" s="22">
        <f t="shared" si="33"/>
        <v>328.5</v>
      </c>
      <c r="K215" s="23">
        <f t="shared" si="33"/>
        <v>328.5</v>
      </c>
      <c r="L215" s="22">
        <f t="shared" si="33"/>
        <v>328.5</v>
      </c>
      <c r="M215" s="22">
        <f t="shared" si="33"/>
        <v>328.5</v>
      </c>
      <c r="N215" s="22">
        <f t="shared" si="33"/>
        <v>328.5</v>
      </c>
      <c r="O215" s="22">
        <f t="shared" si="33"/>
        <v>328.5</v>
      </c>
      <c r="P215" s="22">
        <f t="shared" si="33"/>
        <v>328.5</v>
      </c>
      <c r="Q215" s="22">
        <f t="shared" si="33"/>
        <v>328.5</v>
      </c>
      <c r="R215" s="22">
        <f t="shared" si="33"/>
        <v>328.5</v>
      </c>
      <c r="S215" s="22">
        <f t="shared" si="33"/>
        <v>328.5</v>
      </c>
      <c r="T215" s="22">
        <f t="shared" si="33"/>
        <v>328.5</v>
      </c>
      <c r="U215" s="22">
        <f t="shared" si="33"/>
        <v>328.5</v>
      </c>
      <c r="V215" s="22">
        <f t="shared" si="33"/>
        <v>328.5</v>
      </c>
      <c r="W215" s="22">
        <f t="shared" si="33"/>
        <v>328.5</v>
      </c>
      <c r="X215" s="22">
        <f t="shared" si="33"/>
        <v>328.5</v>
      </c>
      <c r="Y215" s="22">
        <f t="shared" si="33"/>
        <v>328.5</v>
      </c>
      <c r="Z215" s="22">
        <f t="shared" si="33"/>
        <v>328.5</v>
      </c>
      <c r="AA215" s="22">
        <f t="shared" si="33"/>
        <v>328.5</v>
      </c>
      <c r="AB215" s="22">
        <f t="shared" si="33"/>
        <v>328.5</v>
      </c>
      <c r="AC215" s="22">
        <f t="shared" si="33"/>
        <v>328.5</v>
      </c>
      <c r="AD215" s="22">
        <f t="shared" si="33"/>
        <v>328.5</v>
      </c>
      <c r="AE215" s="22">
        <f t="shared" si="33"/>
        <v>328.5</v>
      </c>
    </row>
    <row r="216" spans="2:32" hidden="1" x14ac:dyDescent="0.25">
      <c r="B216" t="s">
        <v>265</v>
      </c>
      <c r="C216" s="157" t="s">
        <v>275</v>
      </c>
      <c r="D216" s="329" t="s">
        <v>274</v>
      </c>
      <c r="E216" s="363"/>
      <c r="F216" s="22"/>
      <c r="G216" s="22"/>
      <c r="H216" s="332">
        <v>665000</v>
      </c>
      <c r="I216" s="14">
        <f>('TEA values'!$C$24*I214*365*20+500000*(3/4))/2</f>
        <v>357225</v>
      </c>
      <c r="J216" s="14">
        <f>'TEA values'!E$24*150*365*20</f>
        <v>284700</v>
      </c>
      <c r="K216" s="15">
        <f>'TEA values'!G$24*150*365*20</f>
        <v>219000</v>
      </c>
      <c r="L216" s="14">
        <f>'TEA values'!I$24*150*365*20</f>
        <v>175200</v>
      </c>
      <c r="M216" s="14">
        <f>'TEA values'!K$24*150*365*20</f>
        <v>153300.00000000003</v>
      </c>
      <c r="N216" s="14">
        <f>'TEA values'!M$24*150*365*20</f>
        <v>142350</v>
      </c>
      <c r="O216" s="14">
        <f>'TEA values'!O$24*150*365*20</f>
        <v>131400</v>
      </c>
      <c r="P216" s="14">
        <f>'TEA values'!P$24*150*365*20</f>
        <v>98550</v>
      </c>
      <c r="Q216" s="14">
        <f>'TEA values'!Q$24*150*365*20</f>
        <v>98550</v>
      </c>
      <c r="R216" s="14">
        <f>'TEA values'!R$24*150*365*20</f>
        <v>98550</v>
      </c>
      <c r="S216" s="14">
        <f>'TEA values'!S$24*150*365*20</f>
        <v>98550</v>
      </c>
      <c r="T216" s="14">
        <f>'TEA values'!T$24*150*365*20</f>
        <v>98550</v>
      </c>
      <c r="U216" s="14">
        <f>'TEA values'!U$24*150*365*20</f>
        <v>98550</v>
      </c>
      <c r="V216" s="14">
        <f>'TEA values'!V$24*150*365*20</f>
        <v>98550</v>
      </c>
      <c r="W216" s="14">
        <f>'TEA values'!W$24*150*365*20</f>
        <v>98550</v>
      </c>
      <c r="X216" s="14">
        <f>'TEA values'!X$24*150*365*20</f>
        <v>98550</v>
      </c>
      <c r="Y216" s="14">
        <f>'TEA values'!Y$24*150*365*20</f>
        <v>98550</v>
      </c>
      <c r="Z216" s="14">
        <f>'TEA values'!Z$24*150*365*20</f>
        <v>98550</v>
      </c>
      <c r="AA216" s="14">
        <f>'TEA values'!AA$24*150*365*20</f>
        <v>98550</v>
      </c>
      <c r="AB216" s="14">
        <f>'TEA values'!AB$24*150*365*20</f>
        <v>98550</v>
      </c>
      <c r="AC216" s="14">
        <f>'TEA values'!AC$24*150*365*20</f>
        <v>98550</v>
      </c>
      <c r="AD216" s="14">
        <f>'TEA values'!AD$24*150*365*20</f>
        <v>98550</v>
      </c>
      <c r="AE216" s="14">
        <f>'TEA values'!AE$24*150*365*20</f>
        <v>98550</v>
      </c>
    </row>
    <row r="217" spans="2:32" hidden="1" x14ac:dyDescent="0.25">
      <c r="B217" t="s">
        <v>265</v>
      </c>
      <c r="C217" s="157" t="s">
        <v>292</v>
      </c>
      <c r="D217" s="329" t="s">
        <v>284</v>
      </c>
      <c r="E217" s="363">
        <v>20</v>
      </c>
      <c r="F217" s="22">
        <v>20</v>
      </c>
      <c r="G217" s="22">
        <v>20</v>
      </c>
      <c r="H217" s="330">
        <v>20</v>
      </c>
      <c r="I217" s="22">
        <v>20</v>
      </c>
      <c r="J217" s="22">
        <v>20</v>
      </c>
      <c r="K217" s="23">
        <v>20</v>
      </c>
      <c r="L217" s="22">
        <v>20</v>
      </c>
      <c r="M217" s="22">
        <v>20</v>
      </c>
      <c r="N217" s="22">
        <v>20</v>
      </c>
      <c r="O217" s="22">
        <v>20</v>
      </c>
      <c r="P217" s="22">
        <v>20</v>
      </c>
      <c r="Q217" s="22">
        <v>20</v>
      </c>
      <c r="R217" s="22">
        <v>20</v>
      </c>
      <c r="S217" s="22">
        <v>20</v>
      </c>
      <c r="T217" s="22">
        <v>20</v>
      </c>
      <c r="U217" s="22">
        <v>20</v>
      </c>
      <c r="V217" s="22">
        <v>20</v>
      </c>
      <c r="W217" s="22">
        <v>20</v>
      </c>
      <c r="X217" s="22">
        <v>20</v>
      </c>
      <c r="Y217" s="22">
        <v>20</v>
      </c>
      <c r="Z217" s="22">
        <v>20</v>
      </c>
      <c r="AA217" s="22">
        <v>20</v>
      </c>
      <c r="AB217" s="22">
        <v>20</v>
      </c>
      <c r="AC217" s="22">
        <v>20</v>
      </c>
      <c r="AD217" s="22">
        <v>20</v>
      </c>
      <c r="AE217" s="22">
        <v>20</v>
      </c>
    </row>
    <row r="218" spans="2:32" hidden="1" x14ac:dyDescent="0.25">
      <c r="B218" t="s">
        <v>265</v>
      </c>
      <c r="C218" s="157" t="s">
        <v>313</v>
      </c>
      <c r="D218" s="329" t="s">
        <v>19</v>
      </c>
      <c r="E218" s="363"/>
      <c r="F218" s="22"/>
      <c r="G218" s="22"/>
      <c r="H218" s="330"/>
      <c r="I218" s="22"/>
      <c r="J218" s="22"/>
      <c r="K218" s="23"/>
      <c r="L218" s="22"/>
      <c r="M218" s="22"/>
      <c r="N218" s="22"/>
      <c r="O218" s="22"/>
    </row>
    <row r="219" spans="2:32" hidden="1" x14ac:dyDescent="0.25">
      <c r="B219" t="s">
        <v>265</v>
      </c>
      <c r="C219" s="157"/>
      <c r="D219" s="329"/>
      <c r="E219" s="363"/>
      <c r="F219" s="22"/>
      <c r="G219" s="22"/>
      <c r="H219" s="330"/>
      <c r="I219" s="22"/>
      <c r="J219" s="22"/>
      <c r="K219" s="23"/>
      <c r="L219" s="22"/>
      <c r="M219" s="22"/>
      <c r="N219" s="22"/>
      <c r="O219" s="22"/>
    </row>
    <row r="220" spans="2:32" ht="18.75" hidden="1" x14ac:dyDescent="0.3">
      <c r="B220" t="s">
        <v>278</v>
      </c>
      <c r="C220" s="328" t="s">
        <v>278</v>
      </c>
      <c r="D220" s="335"/>
      <c r="E220" s="362"/>
      <c r="F220" s="326"/>
      <c r="G220" s="326"/>
      <c r="H220" s="327"/>
      <c r="I220" s="326"/>
      <c r="J220" s="326"/>
      <c r="K220" s="379"/>
      <c r="L220" s="326"/>
      <c r="M220" s="326"/>
      <c r="N220" s="326"/>
      <c r="O220" s="326"/>
      <c r="P220" s="326"/>
      <c r="Q220" s="326"/>
      <c r="R220" s="326"/>
      <c r="S220" s="326"/>
      <c r="T220" s="326"/>
      <c r="U220" s="326"/>
      <c r="V220" s="326"/>
      <c r="W220" s="326"/>
      <c r="X220" s="326"/>
      <c r="Y220" s="326"/>
      <c r="Z220" s="326"/>
      <c r="AA220" s="326"/>
      <c r="AB220" s="326"/>
      <c r="AC220" s="326"/>
      <c r="AD220" s="326"/>
      <c r="AE220" s="326"/>
      <c r="AF220" s="326"/>
    </row>
    <row r="221" spans="2:32" hidden="1" x14ac:dyDescent="0.25">
      <c r="B221" t="s">
        <v>278</v>
      </c>
      <c r="C221" s="157" t="s">
        <v>304</v>
      </c>
      <c r="D221" s="329" t="s">
        <v>269</v>
      </c>
      <c r="E221" s="365"/>
      <c r="F221" s="14"/>
      <c r="G221" s="14"/>
      <c r="H221" s="332"/>
      <c r="I221" s="14"/>
      <c r="K221" s="52"/>
    </row>
    <row r="222" spans="2:32" hidden="1" x14ac:dyDescent="0.25">
      <c r="B222" t="s">
        <v>278</v>
      </c>
      <c r="C222" s="157" t="s">
        <v>267</v>
      </c>
      <c r="D222" s="329" t="s">
        <v>73</v>
      </c>
      <c r="E222" s="365"/>
      <c r="F222" s="14"/>
      <c r="G222" s="14"/>
      <c r="H222" s="332"/>
      <c r="I222" s="14"/>
      <c r="K222" s="52"/>
    </row>
    <row r="223" spans="2:32" hidden="1" x14ac:dyDescent="0.25">
      <c r="B223" t="s">
        <v>278</v>
      </c>
      <c r="C223" s="157" t="s">
        <v>277</v>
      </c>
      <c r="D223" s="329" t="s">
        <v>276</v>
      </c>
      <c r="E223" s="365"/>
      <c r="F223" s="14"/>
      <c r="G223" s="14"/>
      <c r="H223" s="332"/>
      <c r="I223" s="14"/>
      <c r="K223" s="52"/>
    </row>
    <row r="224" spans="2:32" hidden="1" x14ac:dyDescent="0.25">
      <c r="B224" t="s">
        <v>278</v>
      </c>
      <c r="C224" s="157" t="s">
        <v>271</v>
      </c>
      <c r="D224" s="329" t="s">
        <v>301</v>
      </c>
      <c r="E224" s="363">
        <v>150</v>
      </c>
      <c r="F224" s="22">
        <v>150</v>
      </c>
      <c r="G224" s="22">
        <v>150</v>
      </c>
      <c r="H224" s="330">
        <v>150</v>
      </c>
      <c r="I224" s="22">
        <v>150</v>
      </c>
      <c r="J224" s="22">
        <v>150</v>
      </c>
      <c r="K224" s="23">
        <v>150</v>
      </c>
      <c r="L224" s="22">
        <v>150</v>
      </c>
      <c r="M224" s="22">
        <v>150</v>
      </c>
      <c r="N224" s="22">
        <v>150</v>
      </c>
      <c r="O224" s="22">
        <v>150</v>
      </c>
      <c r="P224" s="22">
        <v>150</v>
      </c>
      <c r="Q224" s="22">
        <v>150</v>
      </c>
      <c r="R224" s="22">
        <v>150</v>
      </c>
      <c r="S224" s="22">
        <v>150</v>
      </c>
      <c r="T224" s="22">
        <v>150</v>
      </c>
      <c r="U224" s="22">
        <v>150</v>
      </c>
      <c r="V224" s="22">
        <v>150</v>
      </c>
      <c r="W224" s="22">
        <v>150</v>
      </c>
      <c r="X224" s="22">
        <v>150</v>
      </c>
      <c r="Y224" s="22">
        <v>150</v>
      </c>
      <c r="Z224" s="22">
        <v>150</v>
      </c>
      <c r="AA224" s="22">
        <v>150</v>
      </c>
      <c r="AB224" s="22">
        <v>150</v>
      </c>
      <c r="AC224" s="22">
        <v>150</v>
      </c>
      <c r="AD224" s="22">
        <v>150</v>
      </c>
      <c r="AE224" s="22">
        <v>150</v>
      </c>
    </row>
    <row r="225" spans="2:32" hidden="1" x14ac:dyDescent="0.25">
      <c r="B225" t="s">
        <v>278</v>
      </c>
      <c r="C225" s="157" t="s">
        <v>275</v>
      </c>
      <c r="D225" s="329" t="s">
        <v>274</v>
      </c>
      <c r="E225" s="363"/>
      <c r="F225" s="22"/>
      <c r="G225" s="22"/>
      <c r="H225" s="332">
        <v>665000</v>
      </c>
      <c r="I225" s="14">
        <f>('TEA values'!$C$24*I224*365*20+500000*(3/4))/2</f>
        <v>357225</v>
      </c>
      <c r="J225" s="14">
        <f>'TEA values'!E$24*150*365*20</f>
        <v>284700</v>
      </c>
      <c r="K225" s="15">
        <f>'TEA values'!G$24*150*365*20</f>
        <v>219000</v>
      </c>
      <c r="L225" s="14">
        <f>'TEA values'!I$24*150*365*20</f>
        <v>175200</v>
      </c>
      <c r="M225" s="14">
        <f>'TEA values'!K$24*150*365*20</f>
        <v>153300.00000000003</v>
      </c>
      <c r="N225" s="14">
        <f>'TEA values'!M$24*150*365*20</f>
        <v>142350</v>
      </c>
      <c r="O225" s="14">
        <f>'TEA values'!O$24*150*365*20</f>
        <v>131400</v>
      </c>
      <c r="P225" s="14">
        <f>'TEA values'!P$24*150*365*20</f>
        <v>98550</v>
      </c>
      <c r="Q225" s="14">
        <f>'TEA values'!Q$24*150*365*20</f>
        <v>98550</v>
      </c>
      <c r="R225" s="14">
        <f>'TEA values'!R$24*150*365*20</f>
        <v>98550</v>
      </c>
      <c r="S225" s="14">
        <f>'TEA values'!S$24*150*365*20</f>
        <v>98550</v>
      </c>
      <c r="T225" s="14">
        <f>'TEA values'!T$24*150*365*20</f>
        <v>98550</v>
      </c>
      <c r="U225" s="14">
        <f>'TEA values'!U$24*150*365*20</f>
        <v>98550</v>
      </c>
      <c r="V225" s="14">
        <f>'TEA values'!V$24*150*365*20</f>
        <v>98550</v>
      </c>
      <c r="W225" s="14">
        <f>'TEA values'!W$24*150*365*20</f>
        <v>98550</v>
      </c>
      <c r="X225" s="14">
        <f>'TEA values'!X$24*150*365*20</f>
        <v>98550</v>
      </c>
      <c r="Y225" s="14">
        <f>'TEA values'!Y$24*150*365*20</f>
        <v>98550</v>
      </c>
      <c r="Z225" s="14">
        <f>'TEA values'!Z$24*150*365*20</f>
        <v>98550</v>
      </c>
      <c r="AA225" s="14">
        <f>'TEA values'!AA$24*150*365*20</f>
        <v>98550</v>
      </c>
      <c r="AB225" s="14">
        <f>'TEA values'!AB$24*150*365*20</f>
        <v>98550</v>
      </c>
      <c r="AC225" s="14">
        <f>'TEA values'!AC$24*150*365*20</f>
        <v>98550</v>
      </c>
      <c r="AD225" s="14">
        <f>'TEA values'!AD$24*150*365*20</f>
        <v>98550</v>
      </c>
      <c r="AE225" s="14">
        <f>'TEA values'!AE$24*150*365*20</f>
        <v>98550</v>
      </c>
    </row>
    <row r="226" spans="2:32" hidden="1" x14ac:dyDescent="0.25">
      <c r="B226" t="s">
        <v>278</v>
      </c>
      <c r="C226" s="157" t="s">
        <v>292</v>
      </c>
      <c r="D226" s="329" t="s">
        <v>284</v>
      </c>
      <c r="E226" s="363">
        <v>20</v>
      </c>
      <c r="F226" s="22">
        <v>20</v>
      </c>
      <c r="G226" s="22">
        <v>20</v>
      </c>
      <c r="H226" s="330">
        <v>20</v>
      </c>
      <c r="I226" s="22">
        <v>20</v>
      </c>
      <c r="J226" s="22">
        <v>20</v>
      </c>
      <c r="K226" s="23">
        <v>20</v>
      </c>
      <c r="L226" s="22">
        <v>20</v>
      </c>
      <c r="M226" s="22">
        <v>20</v>
      </c>
      <c r="N226" s="22">
        <v>20</v>
      </c>
      <c r="O226" s="22">
        <v>20</v>
      </c>
      <c r="P226" s="22">
        <v>20</v>
      </c>
      <c r="Q226" s="22">
        <v>20</v>
      </c>
      <c r="R226" s="22">
        <v>20</v>
      </c>
      <c r="S226" s="22">
        <v>20</v>
      </c>
      <c r="T226" s="22">
        <v>20</v>
      </c>
      <c r="U226" s="22">
        <v>20</v>
      </c>
      <c r="V226" s="22">
        <v>20</v>
      </c>
      <c r="W226" s="22">
        <v>20</v>
      </c>
      <c r="X226" s="22">
        <v>20</v>
      </c>
      <c r="Y226" s="22">
        <v>20</v>
      </c>
      <c r="Z226" s="22">
        <v>20</v>
      </c>
      <c r="AA226" s="22">
        <v>20</v>
      </c>
      <c r="AB226" s="22">
        <v>20</v>
      </c>
      <c r="AC226" s="22">
        <v>20</v>
      </c>
      <c r="AD226" s="22">
        <v>20</v>
      </c>
      <c r="AE226" s="22">
        <v>20</v>
      </c>
    </row>
    <row r="227" spans="2:32" hidden="1" x14ac:dyDescent="0.25">
      <c r="B227" t="s">
        <v>278</v>
      </c>
      <c r="C227" s="157" t="s">
        <v>313</v>
      </c>
      <c r="D227" s="329" t="s">
        <v>19</v>
      </c>
      <c r="E227" s="363"/>
      <c r="F227" s="22"/>
      <c r="G227" s="22"/>
      <c r="H227" s="330"/>
      <c r="I227" s="22"/>
      <c r="J227" s="22"/>
      <c r="K227" s="23"/>
      <c r="L227" s="22"/>
      <c r="M227" s="22"/>
      <c r="N227" s="22"/>
      <c r="O227" s="22"/>
    </row>
    <row r="228" spans="2:32" hidden="1" x14ac:dyDescent="0.25">
      <c r="B228" t="s">
        <v>278</v>
      </c>
      <c r="C228" s="157"/>
      <c r="D228" s="329"/>
      <c r="E228" s="365"/>
      <c r="F228" s="14"/>
      <c r="G228" s="14"/>
      <c r="H228" s="332"/>
      <c r="I228" s="14"/>
      <c r="K228" s="52"/>
    </row>
    <row r="229" spans="2:32" ht="18.75" hidden="1" x14ac:dyDescent="0.3">
      <c r="B229" t="s">
        <v>296</v>
      </c>
      <c r="C229" s="328" t="s">
        <v>296</v>
      </c>
      <c r="D229" s="335"/>
      <c r="E229" s="362"/>
      <c r="F229" s="326"/>
      <c r="G229" s="326"/>
      <c r="H229" s="327"/>
      <c r="I229" s="326"/>
      <c r="J229" s="326"/>
      <c r="K229" s="379"/>
      <c r="L229" s="326"/>
      <c r="M229" s="326"/>
      <c r="N229" s="326"/>
      <c r="O229" s="326"/>
      <c r="P229" s="326"/>
      <c r="Q229" s="326"/>
      <c r="R229" s="326"/>
      <c r="S229" s="326"/>
      <c r="T229" s="326"/>
      <c r="U229" s="326"/>
      <c r="V229" s="326"/>
      <c r="W229" s="326"/>
      <c r="X229" s="326"/>
      <c r="Y229" s="326"/>
      <c r="Z229" s="326"/>
      <c r="AA229" s="326"/>
      <c r="AB229" s="326"/>
      <c r="AC229" s="326"/>
      <c r="AD229" s="326"/>
      <c r="AE229" s="326"/>
      <c r="AF229" s="326"/>
    </row>
    <row r="230" spans="2:32" hidden="1" x14ac:dyDescent="0.25">
      <c r="B230" t="s">
        <v>296</v>
      </c>
      <c r="C230" s="157" t="s">
        <v>304</v>
      </c>
      <c r="D230" s="329" t="s">
        <v>269</v>
      </c>
      <c r="E230" s="365"/>
      <c r="F230" s="14"/>
      <c r="G230" s="14"/>
      <c r="H230" s="332"/>
      <c r="I230" s="14"/>
      <c r="K230" s="52"/>
    </row>
    <row r="231" spans="2:32" hidden="1" x14ac:dyDescent="0.25">
      <c r="B231" t="s">
        <v>296</v>
      </c>
      <c r="C231" s="157" t="s">
        <v>267</v>
      </c>
      <c r="D231" s="329" t="s">
        <v>73</v>
      </c>
      <c r="E231" s="365"/>
      <c r="F231" s="14"/>
      <c r="G231" s="14"/>
      <c r="H231" s="332"/>
      <c r="I231" s="14"/>
      <c r="K231" s="52"/>
    </row>
    <row r="232" spans="2:32" hidden="1" x14ac:dyDescent="0.25">
      <c r="B232" t="s">
        <v>283</v>
      </c>
      <c r="C232" s="157" t="s">
        <v>321</v>
      </c>
      <c r="D232" s="329" t="s">
        <v>73</v>
      </c>
      <c r="E232" s="363"/>
      <c r="F232" s="22"/>
      <c r="G232" s="22"/>
      <c r="H232" s="330"/>
      <c r="I232" s="22"/>
      <c r="K232" s="52"/>
    </row>
    <row r="233" spans="2:32" hidden="1" x14ac:dyDescent="0.25">
      <c r="B233" t="s">
        <v>283</v>
      </c>
      <c r="C233" s="157" t="s">
        <v>285</v>
      </c>
      <c r="D233" s="329" t="s">
        <v>284</v>
      </c>
      <c r="E233" s="363"/>
      <c r="F233" s="22"/>
      <c r="G233" s="22"/>
      <c r="H233" s="330"/>
      <c r="I233" s="22"/>
      <c r="K233" s="52"/>
    </row>
    <row r="234" spans="2:32" hidden="1" x14ac:dyDescent="0.25">
      <c r="B234" t="s">
        <v>296</v>
      </c>
      <c r="C234" s="157" t="s">
        <v>271</v>
      </c>
      <c r="D234" s="329" t="s">
        <v>301</v>
      </c>
      <c r="E234" s="363">
        <v>150</v>
      </c>
      <c r="F234" s="22">
        <v>150</v>
      </c>
      <c r="G234" s="22">
        <v>150</v>
      </c>
      <c r="H234" s="330">
        <v>150</v>
      </c>
      <c r="I234" s="22">
        <v>150</v>
      </c>
      <c r="J234" s="22">
        <v>150</v>
      </c>
      <c r="K234" s="23">
        <v>150</v>
      </c>
      <c r="L234" s="22">
        <v>150</v>
      </c>
      <c r="M234" s="22">
        <v>150</v>
      </c>
      <c r="N234" s="22">
        <v>150</v>
      </c>
      <c r="O234" s="22">
        <v>150</v>
      </c>
      <c r="P234" s="22">
        <v>150</v>
      </c>
      <c r="Q234" s="22">
        <v>150</v>
      </c>
      <c r="R234" s="22">
        <v>150</v>
      </c>
      <c r="S234" s="22">
        <v>150</v>
      </c>
      <c r="T234" s="22">
        <v>150</v>
      </c>
      <c r="U234" s="22">
        <v>150</v>
      </c>
      <c r="V234" s="22">
        <v>150</v>
      </c>
      <c r="W234" s="22">
        <v>150</v>
      </c>
      <c r="X234" s="22">
        <v>150</v>
      </c>
      <c r="Y234" s="22">
        <v>150</v>
      </c>
      <c r="Z234" s="22">
        <v>150</v>
      </c>
      <c r="AA234" s="22">
        <v>150</v>
      </c>
      <c r="AB234" s="22">
        <v>150</v>
      </c>
      <c r="AC234" s="22">
        <v>150</v>
      </c>
      <c r="AD234" s="22">
        <v>150</v>
      </c>
      <c r="AE234" s="22">
        <v>150</v>
      </c>
    </row>
    <row r="235" spans="2:32" hidden="1" x14ac:dyDescent="0.25">
      <c r="B235" t="s">
        <v>296</v>
      </c>
      <c r="C235" s="157" t="s">
        <v>275</v>
      </c>
      <c r="D235" s="329" t="s">
        <v>274</v>
      </c>
      <c r="E235" s="363"/>
      <c r="F235" s="22"/>
      <c r="G235" s="22"/>
      <c r="H235" s="332">
        <v>665000</v>
      </c>
      <c r="I235" s="14">
        <f>('TEA values'!$C$24*I234*365*20+500000*(3/4))/2</f>
        <v>357225</v>
      </c>
      <c r="J235" s="14">
        <f>'TEA values'!E$24*150*365*20</f>
        <v>284700</v>
      </c>
      <c r="K235" s="15">
        <f>'TEA values'!G$24*150*365*20</f>
        <v>219000</v>
      </c>
      <c r="L235" s="14">
        <f>'TEA values'!I$24*150*365*20</f>
        <v>175200</v>
      </c>
      <c r="M235" s="14">
        <f>'TEA values'!K$24*150*365*20</f>
        <v>153300.00000000003</v>
      </c>
      <c r="N235" s="14">
        <f>'TEA values'!M$24*150*365*20</f>
        <v>142350</v>
      </c>
      <c r="O235" s="14">
        <f>'TEA values'!O$24*150*365*20</f>
        <v>131400</v>
      </c>
      <c r="P235" s="14">
        <f>'TEA values'!P$24*150*365*20</f>
        <v>98550</v>
      </c>
      <c r="Q235" s="14">
        <f>'TEA values'!Q$24*150*365*20</f>
        <v>98550</v>
      </c>
      <c r="R235" s="14">
        <f>'TEA values'!R$24*150*365*20</f>
        <v>98550</v>
      </c>
      <c r="S235" s="14">
        <f>'TEA values'!S$24*150*365*20</f>
        <v>98550</v>
      </c>
      <c r="T235" s="14">
        <f>'TEA values'!T$24*150*365*20</f>
        <v>98550</v>
      </c>
      <c r="U235" s="14">
        <f>'TEA values'!U$24*150*365*20</f>
        <v>98550</v>
      </c>
      <c r="V235" s="14">
        <f>'TEA values'!V$24*150*365*20</f>
        <v>98550</v>
      </c>
      <c r="W235" s="14">
        <f>'TEA values'!W$24*150*365*20</f>
        <v>98550</v>
      </c>
      <c r="X235" s="14">
        <f>'TEA values'!X$24*150*365*20</f>
        <v>98550</v>
      </c>
      <c r="Y235" s="14">
        <f>'TEA values'!Y$24*150*365*20</f>
        <v>98550</v>
      </c>
      <c r="Z235" s="14">
        <f>'TEA values'!Z$24*150*365*20</f>
        <v>98550</v>
      </c>
      <c r="AA235" s="14">
        <f>'TEA values'!AA$24*150*365*20</f>
        <v>98550</v>
      </c>
      <c r="AB235" s="14">
        <f>'TEA values'!AB$24*150*365*20</f>
        <v>98550</v>
      </c>
      <c r="AC235" s="14">
        <f>'TEA values'!AC$24*150*365*20</f>
        <v>98550</v>
      </c>
      <c r="AD235" s="14">
        <f>'TEA values'!AD$24*150*365*20</f>
        <v>98550</v>
      </c>
      <c r="AE235" s="14">
        <f>'TEA values'!AE$24*150*365*20</f>
        <v>98550</v>
      </c>
    </row>
    <row r="236" spans="2:32" hidden="1" x14ac:dyDescent="0.25">
      <c r="B236" t="s">
        <v>296</v>
      </c>
      <c r="C236" s="157" t="s">
        <v>292</v>
      </c>
      <c r="D236" s="329" t="s">
        <v>284</v>
      </c>
      <c r="E236" s="363">
        <v>20</v>
      </c>
      <c r="F236" s="22">
        <v>20</v>
      </c>
      <c r="G236" s="22">
        <v>20</v>
      </c>
      <c r="H236" s="330">
        <v>20</v>
      </c>
      <c r="I236" s="22">
        <v>20</v>
      </c>
      <c r="J236" s="22">
        <v>20</v>
      </c>
      <c r="K236" s="23">
        <v>20</v>
      </c>
      <c r="L236" s="22">
        <v>20</v>
      </c>
      <c r="M236" s="22">
        <v>20</v>
      </c>
      <c r="N236" s="22">
        <v>20</v>
      </c>
      <c r="O236" s="22">
        <v>20</v>
      </c>
      <c r="P236" s="22">
        <v>20</v>
      </c>
      <c r="Q236" s="22">
        <v>20</v>
      </c>
      <c r="R236" s="22">
        <v>20</v>
      </c>
      <c r="S236" s="22">
        <v>20</v>
      </c>
      <c r="T236" s="22">
        <v>20</v>
      </c>
      <c r="U236" s="22">
        <v>20</v>
      </c>
      <c r="V236" s="22">
        <v>20</v>
      </c>
      <c r="W236" s="22">
        <v>20</v>
      </c>
      <c r="X236" s="22">
        <v>20</v>
      </c>
      <c r="Y236" s="22">
        <v>20</v>
      </c>
      <c r="Z236" s="22">
        <v>20</v>
      </c>
      <c r="AA236" s="22">
        <v>20</v>
      </c>
      <c r="AB236" s="22">
        <v>20</v>
      </c>
      <c r="AC236" s="22">
        <v>20</v>
      </c>
      <c r="AD236" s="22">
        <v>20</v>
      </c>
      <c r="AE236" s="22">
        <v>20</v>
      </c>
    </row>
    <row r="237" spans="2:32" hidden="1" x14ac:dyDescent="0.25">
      <c r="B237" t="s">
        <v>296</v>
      </c>
      <c r="C237" s="157" t="s">
        <v>313</v>
      </c>
      <c r="D237" s="329" t="s">
        <v>19</v>
      </c>
      <c r="E237" s="363"/>
      <c r="F237" s="22"/>
      <c r="G237" s="22"/>
      <c r="H237" s="330"/>
      <c r="I237" s="22"/>
      <c r="J237" s="22"/>
      <c r="K237" s="23"/>
      <c r="L237" s="22"/>
      <c r="M237" s="22"/>
      <c r="N237" s="22"/>
      <c r="O237" s="22"/>
    </row>
    <row r="238" spans="2:32" hidden="1" x14ac:dyDescent="0.25">
      <c r="B238" t="s">
        <v>296</v>
      </c>
      <c r="D238" s="338"/>
      <c r="E238" s="369"/>
      <c r="H238" s="339"/>
      <c r="K238" s="52"/>
    </row>
    <row r="239" spans="2:32" x14ac:dyDescent="0.25">
      <c r="D239" s="338"/>
      <c r="E239" s="369"/>
      <c r="H239" s="339"/>
      <c r="K239" s="52"/>
    </row>
    <row r="240" spans="2:32" hidden="1" x14ac:dyDescent="0.25">
      <c r="B240" t="s">
        <v>263</v>
      </c>
      <c r="C240" s="157" t="s">
        <v>333</v>
      </c>
      <c r="D240" s="329" t="s">
        <v>269</v>
      </c>
      <c r="E240" s="368">
        <f ca="1">SUM(OFFSET(E177,0,-MIN(E182,COLUMN(E177)-COLUMN($E177)),1,MIN(E182,COLUMN(E177)-COLUMN($E177)+1)))</f>
        <v>0</v>
      </c>
      <c r="F240" s="28">
        <f t="shared" ref="F240:AE240" ca="1" si="34">SUM(OFFSET(F177,0,-MIN(F182,COLUMN(F177)-COLUMN($E177)),1,MIN(F182,COLUMN(F177)-COLUMN($E177)+1)))</f>
        <v>0</v>
      </c>
      <c r="G240" s="28">
        <f t="shared" ca="1" si="34"/>
        <v>0</v>
      </c>
      <c r="H240" s="337">
        <f t="shared" ca="1" si="34"/>
        <v>0</v>
      </c>
      <c r="I240" s="28">
        <f t="shared" ca="1" si="34"/>
        <v>0</v>
      </c>
      <c r="J240" s="28">
        <f t="shared" ca="1" si="34"/>
        <v>0</v>
      </c>
      <c r="K240" s="53">
        <f t="shared" ca="1" si="34"/>
        <v>0</v>
      </c>
      <c r="L240" s="28">
        <f t="shared" ca="1" si="34"/>
        <v>0</v>
      </c>
      <c r="M240" s="28">
        <f t="shared" ca="1" si="34"/>
        <v>0</v>
      </c>
      <c r="N240" s="28">
        <f t="shared" ca="1" si="34"/>
        <v>0</v>
      </c>
      <c r="O240" s="28">
        <f t="shared" ca="1" si="34"/>
        <v>0</v>
      </c>
      <c r="P240" s="28">
        <f t="shared" ca="1" si="34"/>
        <v>0</v>
      </c>
      <c r="Q240" s="28">
        <f t="shared" ca="1" si="34"/>
        <v>0</v>
      </c>
      <c r="R240" s="28">
        <f t="shared" ca="1" si="34"/>
        <v>0</v>
      </c>
      <c r="S240" s="28">
        <f t="shared" ca="1" si="34"/>
        <v>0</v>
      </c>
      <c r="T240" s="28">
        <f t="shared" ca="1" si="34"/>
        <v>0</v>
      </c>
      <c r="U240" s="28">
        <f t="shared" ca="1" si="34"/>
        <v>0</v>
      </c>
      <c r="V240" s="28">
        <f t="shared" ca="1" si="34"/>
        <v>0</v>
      </c>
      <c r="W240" s="28">
        <f t="shared" ca="1" si="34"/>
        <v>0</v>
      </c>
      <c r="X240" s="28">
        <f t="shared" ca="1" si="34"/>
        <v>0</v>
      </c>
      <c r="Y240" s="28">
        <f t="shared" ca="1" si="34"/>
        <v>0</v>
      </c>
      <c r="Z240" s="28">
        <f t="shared" ca="1" si="34"/>
        <v>0</v>
      </c>
      <c r="AA240" s="28">
        <f t="shared" ca="1" si="34"/>
        <v>0</v>
      </c>
      <c r="AB240" s="28">
        <f t="shared" ca="1" si="34"/>
        <v>0</v>
      </c>
      <c r="AC240" s="28">
        <f t="shared" ca="1" si="34"/>
        <v>0</v>
      </c>
      <c r="AD240" s="28">
        <f t="shared" ca="1" si="34"/>
        <v>0</v>
      </c>
      <c r="AE240" s="28">
        <f t="shared" ca="1" si="34"/>
        <v>0</v>
      </c>
    </row>
    <row r="241" spans="2:32" hidden="1" x14ac:dyDescent="0.25">
      <c r="B241" t="s">
        <v>282</v>
      </c>
      <c r="C241" s="157" t="s">
        <v>334</v>
      </c>
      <c r="D241" s="329" t="s">
        <v>269</v>
      </c>
      <c r="E241" s="368">
        <f ca="1">SUM(OFFSET(E194,0,-MIN(E198,COLUMN(E194)-COLUMN($E194)),1,MIN(E198,COLUMN(E194)-COLUMN($E194)+1)))</f>
        <v>0</v>
      </c>
      <c r="F241" s="28">
        <f t="shared" ref="F241:AE241" ca="1" si="35">SUM(OFFSET(F194,0,-MIN(F198,COLUMN(F194)-COLUMN($E194)),1,MIN(F198,COLUMN(F194)-COLUMN($E194)+1)))</f>
        <v>0</v>
      </c>
      <c r="G241" s="28">
        <f t="shared" ca="1" si="35"/>
        <v>0</v>
      </c>
      <c r="H241" s="337">
        <f t="shared" ca="1" si="35"/>
        <v>0</v>
      </c>
      <c r="I241" s="28">
        <f t="shared" ca="1" si="35"/>
        <v>0</v>
      </c>
      <c r="J241" s="28">
        <f t="shared" ca="1" si="35"/>
        <v>0</v>
      </c>
      <c r="K241" s="53">
        <f t="shared" ca="1" si="35"/>
        <v>0</v>
      </c>
      <c r="L241" s="28">
        <f t="shared" ca="1" si="35"/>
        <v>0</v>
      </c>
      <c r="M241" s="28">
        <f t="shared" ca="1" si="35"/>
        <v>0</v>
      </c>
      <c r="N241" s="28">
        <f t="shared" ca="1" si="35"/>
        <v>0</v>
      </c>
      <c r="O241" s="28">
        <f t="shared" ca="1" si="35"/>
        <v>0</v>
      </c>
      <c r="P241" s="28">
        <f t="shared" ca="1" si="35"/>
        <v>0</v>
      </c>
      <c r="Q241" s="28">
        <f t="shared" ca="1" si="35"/>
        <v>0</v>
      </c>
      <c r="R241" s="28">
        <f t="shared" ca="1" si="35"/>
        <v>0</v>
      </c>
      <c r="S241" s="28">
        <f t="shared" ca="1" si="35"/>
        <v>0</v>
      </c>
      <c r="T241" s="28">
        <f t="shared" ca="1" si="35"/>
        <v>0</v>
      </c>
      <c r="U241" s="28">
        <f t="shared" ca="1" si="35"/>
        <v>0</v>
      </c>
      <c r="V241" s="28">
        <f t="shared" ca="1" si="35"/>
        <v>0</v>
      </c>
      <c r="W241" s="28">
        <f t="shared" ca="1" si="35"/>
        <v>0</v>
      </c>
      <c r="X241" s="28">
        <f t="shared" ca="1" si="35"/>
        <v>0</v>
      </c>
      <c r="Y241" s="28">
        <f t="shared" ca="1" si="35"/>
        <v>0</v>
      </c>
      <c r="Z241" s="28">
        <f t="shared" ca="1" si="35"/>
        <v>0</v>
      </c>
      <c r="AA241" s="28">
        <f t="shared" ca="1" si="35"/>
        <v>0</v>
      </c>
      <c r="AB241" s="28">
        <f t="shared" ca="1" si="35"/>
        <v>0</v>
      </c>
      <c r="AC241" s="28">
        <f t="shared" ca="1" si="35"/>
        <v>0</v>
      </c>
      <c r="AD241" s="28">
        <f t="shared" ca="1" si="35"/>
        <v>0</v>
      </c>
      <c r="AE241" s="28">
        <f t="shared" ca="1" si="35"/>
        <v>0</v>
      </c>
    </row>
    <row r="242" spans="2:32" hidden="1" x14ac:dyDescent="0.25">
      <c r="B242" t="s">
        <v>283</v>
      </c>
      <c r="C242" s="157" t="s">
        <v>335</v>
      </c>
      <c r="D242" s="329" t="s">
        <v>269</v>
      </c>
      <c r="E242" s="368">
        <f ca="1">SUM(OFFSET(E202,0,-MIN(E204,COLUMN(E202)-COLUMN($E202)),1,MIN(E204,COLUMN(E202)-COLUMN($E202)+1)))</f>
        <v>0</v>
      </c>
      <c r="F242" s="28">
        <f t="shared" ref="F242:AE242" ca="1" si="36">SUM(OFFSET(F202,0,-MIN(F204,COLUMN(F202)-COLUMN($E202)),1,MIN(F204,COLUMN(F202)-COLUMN($E202)+1)))</f>
        <v>0</v>
      </c>
      <c r="G242" s="28">
        <f t="shared" ca="1" si="36"/>
        <v>0</v>
      </c>
      <c r="H242" s="337">
        <f t="shared" ca="1" si="36"/>
        <v>0</v>
      </c>
      <c r="I242" s="28">
        <f t="shared" ca="1" si="36"/>
        <v>0</v>
      </c>
      <c r="J242" s="28">
        <f t="shared" ca="1" si="36"/>
        <v>0</v>
      </c>
      <c r="K242" s="53">
        <f t="shared" ca="1" si="36"/>
        <v>0</v>
      </c>
      <c r="L242" s="28">
        <f t="shared" ca="1" si="36"/>
        <v>0</v>
      </c>
      <c r="M242" s="28">
        <f t="shared" ca="1" si="36"/>
        <v>0</v>
      </c>
      <c r="N242" s="28">
        <f t="shared" ca="1" si="36"/>
        <v>0</v>
      </c>
      <c r="O242" s="28">
        <f t="shared" ca="1" si="36"/>
        <v>0</v>
      </c>
      <c r="P242" s="28">
        <f t="shared" ca="1" si="36"/>
        <v>0</v>
      </c>
      <c r="Q242" s="28">
        <f t="shared" ca="1" si="36"/>
        <v>0</v>
      </c>
      <c r="R242" s="28">
        <f t="shared" ca="1" si="36"/>
        <v>0</v>
      </c>
      <c r="S242" s="28">
        <f t="shared" ca="1" si="36"/>
        <v>0</v>
      </c>
      <c r="T242" s="28">
        <f t="shared" ca="1" si="36"/>
        <v>0</v>
      </c>
      <c r="U242" s="28">
        <f t="shared" ca="1" si="36"/>
        <v>0</v>
      </c>
      <c r="V242" s="28">
        <f t="shared" ca="1" si="36"/>
        <v>0</v>
      </c>
      <c r="W242" s="28">
        <f t="shared" ca="1" si="36"/>
        <v>0</v>
      </c>
      <c r="X242" s="28">
        <f t="shared" ca="1" si="36"/>
        <v>0</v>
      </c>
      <c r="Y242" s="28">
        <f t="shared" ca="1" si="36"/>
        <v>0</v>
      </c>
      <c r="Z242" s="28">
        <f t="shared" ca="1" si="36"/>
        <v>0</v>
      </c>
      <c r="AA242" s="28">
        <f t="shared" ca="1" si="36"/>
        <v>0</v>
      </c>
      <c r="AB242" s="28">
        <f t="shared" ca="1" si="36"/>
        <v>0</v>
      </c>
      <c r="AC242" s="28">
        <f t="shared" ca="1" si="36"/>
        <v>0</v>
      </c>
      <c r="AD242" s="28">
        <f t="shared" ca="1" si="36"/>
        <v>0</v>
      </c>
      <c r="AE242" s="28">
        <f t="shared" ca="1" si="36"/>
        <v>0</v>
      </c>
    </row>
    <row r="243" spans="2:32" hidden="1" x14ac:dyDescent="0.25">
      <c r="B243" t="s">
        <v>265</v>
      </c>
      <c r="C243" s="157" t="s">
        <v>336</v>
      </c>
      <c r="D243" s="329" t="s">
        <v>269</v>
      </c>
      <c r="E243" s="368">
        <f ca="1">SUM(OFFSET(E211,0,-MIN(E217,COLUMN(E211)-COLUMN($E211)),1,MIN(E217,COLUMN(E211)-COLUMN($E211)+1)))</f>
        <v>0</v>
      </c>
      <c r="F243" s="28">
        <f t="shared" ref="F243:AE243" ca="1" si="37">SUM(OFFSET(F211,0,-MIN(F217,COLUMN(F211)-COLUMN($E211)),1,MIN(F217,COLUMN(F211)-COLUMN($E211)+1)))</f>
        <v>0</v>
      </c>
      <c r="G243" s="28">
        <f t="shared" ca="1" si="37"/>
        <v>0</v>
      </c>
      <c r="H243" s="337">
        <f t="shared" ca="1" si="37"/>
        <v>0</v>
      </c>
      <c r="I243" s="28">
        <f t="shared" ca="1" si="37"/>
        <v>0</v>
      </c>
      <c r="J243" s="28">
        <f t="shared" ca="1" si="37"/>
        <v>0</v>
      </c>
      <c r="K243" s="53">
        <f t="shared" ca="1" si="37"/>
        <v>0</v>
      </c>
      <c r="L243" s="28">
        <f t="shared" ca="1" si="37"/>
        <v>0</v>
      </c>
      <c r="M243" s="28">
        <f t="shared" ca="1" si="37"/>
        <v>0</v>
      </c>
      <c r="N243" s="28">
        <f t="shared" ca="1" si="37"/>
        <v>0</v>
      </c>
      <c r="O243" s="28">
        <f t="shared" ca="1" si="37"/>
        <v>0</v>
      </c>
      <c r="P243" s="28">
        <f t="shared" ca="1" si="37"/>
        <v>0</v>
      </c>
      <c r="Q243" s="28">
        <f t="shared" ca="1" si="37"/>
        <v>0</v>
      </c>
      <c r="R243" s="28">
        <f t="shared" ca="1" si="37"/>
        <v>0</v>
      </c>
      <c r="S243" s="28">
        <f t="shared" ca="1" si="37"/>
        <v>0</v>
      </c>
      <c r="T243" s="28">
        <f t="shared" ca="1" si="37"/>
        <v>0</v>
      </c>
      <c r="U243" s="28">
        <f t="shared" ca="1" si="37"/>
        <v>0</v>
      </c>
      <c r="V243" s="28">
        <f t="shared" ca="1" si="37"/>
        <v>0</v>
      </c>
      <c r="W243" s="28">
        <f t="shared" ca="1" si="37"/>
        <v>0</v>
      </c>
      <c r="X243" s="28">
        <f t="shared" ca="1" si="37"/>
        <v>0</v>
      </c>
      <c r="Y243" s="28">
        <f t="shared" ca="1" si="37"/>
        <v>0</v>
      </c>
      <c r="Z243" s="28">
        <f t="shared" ca="1" si="37"/>
        <v>0</v>
      </c>
      <c r="AA243" s="28">
        <f t="shared" ca="1" si="37"/>
        <v>0</v>
      </c>
      <c r="AB243" s="28">
        <f t="shared" ca="1" si="37"/>
        <v>0</v>
      </c>
      <c r="AC243" s="28">
        <f t="shared" ca="1" si="37"/>
        <v>0</v>
      </c>
      <c r="AD243" s="28">
        <f t="shared" ca="1" si="37"/>
        <v>0</v>
      </c>
      <c r="AE243" s="28">
        <f t="shared" ca="1" si="37"/>
        <v>0</v>
      </c>
    </row>
    <row r="244" spans="2:32" hidden="1" x14ac:dyDescent="0.25">
      <c r="B244" t="s">
        <v>278</v>
      </c>
      <c r="C244" s="157" t="s">
        <v>337</v>
      </c>
      <c r="D244" s="329" t="s">
        <v>269</v>
      </c>
      <c r="E244" s="368">
        <f ca="1">SUM(OFFSET(E221,0,-MIN(E226,COLUMN(E221)-COLUMN($E221)),1,MIN(E226,COLUMN(E221)-COLUMN($E221)+1)))</f>
        <v>0</v>
      </c>
      <c r="F244" s="28">
        <f t="shared" ref="F244:AE244" ca="1" si="38">SUM(OFFSET(F221,0,-MIN(F226,COLUMN(F221)-COLUMN($E221)),1,MIN(F226,COLUMN(F221)-COLUMN($E221)+1)))</f>
        <v>0</v>
      </c>
      <c r="G244" s="28">
        <f t="shared" ca="1" si="38"/>
        <v>0</v>
      </c>
      <c r="H244" s="337">
        <f t="shared" ca="1" si="38"/>
        <v>0</v>
      </c>
      <c r="I244" s="28">
        <f t="shared" ca="1" si="38"/>
        <v>0</v>
      </c>
      <c r="J244" s="28">
        <f t="shared" ca="1" si="38"/>
        <v>0</v>
      </c>
      <c r="K244" s="53">
        <f t="shared" ca="1" si="38"/>
        <v>0</v>
      </c>
      <c r="L244" s="28">
        <f t="shared" ca="1" si="38"/>
        <v>0</v>
      </c>
      <c r="M244" s="28">
        <f t="shared" ca="1" si="38"/>
        <v>0</v>
      </c>
      <c r="N244" s="28">
        <f t="shared" ca="1" si="38"/>
        <v>0</v>
      </c>
      <c r="O244" s="28">
        <f t="shared" ca="1" si="38"/>
        <v>0</v>
      </c>
      <c r="P244" s="28">
        <f t="shared" ca="1" si="38"/>
        <v>0</v>
      </c>
      <c r="Q244" s="28">
        <f t="shared" ca="1" si="38"/>
        <v>0</v>
      </c>
      <c r="R244" s="28">
        <f t="shared" ca="1" si="38"/>
        <v>0</v>
      </c>
      <c r="S244" s="28">
        <f t="shared" ca="1" si="38"/>
        <v>0</v>
      </c>
      <c r="T244" s="28">
        <f t="shared" ca="1" si="38"/>
        <v>0</v>
      </c>
      <c r="U244" s="28">
        <f t="shared" ca="1" si="38"/>
        <v>0</v>
      </c>
      <c r="V244" s="28">
        <f t="shared" ca="1" si="38"/>
        <v>0</v>
      </c>
      <c r="W244" s="28">
        <f t="shared" ca="1" si="38"/>
        <v>0</v>
      </c>
      <c r="X244" s="28">
        <f t="shared" ca="1" si="38"/>
        <v>0</v>
      </c>
      <c r="Y244" s="28">
        <f t="shared" ca="1" si="38"/>
        <v>0</v>
      </c>
      <c r="Z244" s="28">
        <f t="shared" ca="1" si="38"/>
        <v>0</v>
      </c>
      <c r="AA244" s="28">
        <f t="shared" ca="1" si="38"/>
        <v>0</v>
      </c>
      <c r="AB244" s="28">
        <f t="shared" ca="1" si="38"/>
        <v>0</v>
      </c>
      <c r="AC244" s="28">
        <f t="shared" ca="1" si="38"/>
        <v>0</v>
      </c>
      <c r="AD244" s="28">
        <f t="shared" ca="1" si="38"/>
        <v>0</v>
      </c>
      <c r="AE244" s="28">
        <f t="shared" ca="1" si="38"/>
        <v>0</v>
      </c>
    </row>
    <row r="245" spans="2:32" hidden="1" x14ac:dyDescent="0.25">
      <c r="B245" t="s">
        <v>296</v>
      </c>
      <c r="C245" s="157" t="s">
        <v>338</v>
      </c>
      <c r="D245" s="329" t="s">
        <v>269</v>
      </c>
      <c r="E245" s="368">
        <f ca="1">SUM(OFFSET(E230,0,-MIN(E233,COLUMN(E230)-COLUMN($E230)),1,MIN(E233,COLUMN(E230)-COLUMN($E230)+1)))</f>
        <v>0</v>
      </c>
      <c r="F245" s="28">
        <f t="shared" ref="F245:AE245" ca="1" si="39">SUM(OFFSET(F230,0,-MIN(F233,COLUMN(F230)-COLUMN($E230)),1,MIN(F233,COLUMN(F230)-COLUMN($E230)+1)))</f>
        <v>0</v>
      </c>
      <c r="G245" s="28">
        <f t="shared" ca="1" si="39"/>
        <v>0</v>
      </c>
      <c r="H245" s="337">
        <f t="shared" ca="1" si="39"/>
        <v>0</v>
      </c>
      <c r="I245" s="28">
        <f t="shared" ca="1" si="39"/>
        <v>0</v>
      </c>
      <c r="J245" s="28">
        <f t="shared" ca="1" si="39"/>
        <v>0</v>
      </c>
      <c r="K245" s="53">
        <f t="shared" ca="1" si="39"/>
        <v>0</v>
      </c>
      <c r="L245" s="28">
        <f t="shared" ca="1" si="39"/>
        <v>0</v>
      </c>
      <c r="M245" s="28">
        <f t="shared" ca="1" si="39"/>
        <v>0</v>
      </c>
      <c r="N245" s="28">
        <f t="shared" ca="1" si="39"/>
        <v>0</v>
      </c>
      <c r="O245" s="28">
        <f t="shared" ca="1" si="39"/>
        <v>0</v>
      </c>
      <c r="P245" s="28">
        <f t="shared" ca="1" si="39"/>
        <v>0</v>
      </c>
      <c r="Q245" s="28">
        <f t="shared" ca="1" si="39"/>
        <v>0</v>
      </c>
      <c r="R245" s="28">
        <f t="shared" ca="1" si="39"/>
        <v>0</v>
      </c>
      <c r="S245" s="28">
        <f t="shared" ca="1" si="39"/>
        <v>0</v>
      </c>
      <c r="T245" s="28">
        <f t="shared" ca="1" si="39"/>
        <v>0</v>
      </c>
      <c r="U245" s="28">
        <f t="shared" ca="1" si="39"/>
        <v>0</v>
      </c>
      <c r="V245" s="28">
        <f t="shared" ca="1" si="39"/>
        <v>0</v>
      </c>
      <c r="W245" s="28">
        <f t="shared" ca="1" si="39"/>
        <v>0</v>
      </c>
      <c r="X245" s="28">
        <f t="shared" ca="1" si="39"/>
        <v>0</v>
      </c>
      <c r="Y245" s="28">
        <f t="shared" ca="1" si="39"/>
        <v>0</v>
      </c>
      <c r="Z245" s="28">
        <f t="shared" ca="1" si="39"/>
        <v>0</v>
      </c>
      <c r="AA245" s="28">
        <f t="shared" ca="1" si="39"/>
        <v>0</v>
      </c>
      <c r="AB245" s="28">
        <f t="shared" ca="1" si="39"/>
        <v>0</v>
      </c>
      <c r="AC245" s="28">
        <f t="shared" ca="1" si="39"/>
        <v>0</v>
      </c>
      <c r="AD245" s="28">
        <f t="shared" ca="1" si="39"/>
        <v>0</v>
      </c>
      <c r="AE245" s="28">
        <f t="shared" ca="1" si="39"/>
        <v>0</v>
      </c>
    </row>
    <row r="246" spans="2:32" x14ac:dyDescent="0.25">
      <c r="D246" s="338"/>
      <c r="E246" s="369"/>
      <c r="H246" s="339"/>
      <c r="K246" s="52"/>
    </row>
    <row r="247" spans="2:32" x14ac:dyDescent="0.25">
      <c r="C247" s="340" t="s">
        <v>159</v>
      </c>
      <c r="D247" s="338"/>
      <c r="E247" s="369"/>
      <c r="H247" s="339"/>
      <c r="K247" s="52"/>
    </row>
    <row r="248" spans="2:32" ht="18.75" hidden="1" x14ac:dyDescent="0.3">
      <c r="B248" t="s">
        <v>263</v>
      </c>
      <c r="C248" s="328" t="s">
        <v>263</v>
      </c>
      <c r="D248" s="335"/>
      <c r="E248" s="362"/>
      <c r="F248" s="326"/>
      <c r="G248" s="326"/>
      <c r="H248" s="327"/>
      <c r="I248" s="326"/>
      <c r="J248" s="326"/>
      <c r="K248" s="379"/>
      <c r="L248" s="326"/>
      <c r="M248" s="326"/>
      <c r="N248" s="326"/>
      <c r="O248" s="326"/>
      <c r="P248" s="326"/>
      <c r="Q248" s="326"/>
      <c r="R248" s="326"/>
      <c r="S248" s="326"/>
      <c r="T248" s="326"/>
      <c r="U248" s="326"/>
      <c r="V248" s="326"/>
      <c r="W248" s="326"/>
      <c r="X248" s="326"/>
      <c r="Y248" s="326"/>
      <c r="Z248" s="326"/>
      <c r="AA248" s="326"/>
      <c r="AB248" s="326"/>
      <c r="AC248" s="326"/>
      <c r="AD248" s="326"/>
      <c r="AE248" s="326"/>
      <c r="AF248" s="326"/>
    </row>
    <row r="249" spans="2:32" hidden="1" x14ac:dyDescent="0.25">
      <c r="B249" t="s">
        <v>263</v>
      </c>
      <c r="C249" s="155" t="s">
        <v>286</v>
      </c>
      <c r="D249" s="329" t="s">
        <v>73</v>
      </c>
      <c r="E249" s="367">
        <f ca="1">E240*Cockpit!E178*Cockpit!E179*Cockpit!E180</f>
        <v>0</v>
      </c>
      <c r="F249" s="20">
        <f ca="1">F240*Cockpit!F178*Cockpit!F179*Cockpit!F180</f>
        <v>0</v>
      </c>
      <c r="G249" s="20">
        <f ca="1">G240*Cockpit!G178*Cockpit!G179*Cockpit!G180</f>
        <v>0</v>
      </c>
      <c r="H249" s="336">
        <f ca="1">H240*Cockpit!H178*Cockpit!H179*Cockpit!H180</f>
        <v>0</v>
      </c>
      <c r="I249" s="20">
        <f ca="1">I240*Cockpit!I178*Cockpit!I179*Cockpit!I180</f>
        <v>0</v>
      </c>
      <c r="J249" s="20">
        <f ca="1">J240*Cockpit!J178*Cockpit!J179*Cockpit!J180</f>
        <v>0</v>
      </c>
      <c r="K249" s="21">
        <f ca="1">K240*Cockpit!K178*Cockpit!K179*Cockpit!K180</f>
        <v>0</v>
      </c>
      <c r="L249" s="20">
        <f ca="1">L240*Cockpit!L178*Cockpit!L179*Cockpit!L180</f>
        <v>0</v>
      </c>
      <c r="M249" s="20">
        <f ca="1">M240*Cockpit!M178*Cockpit!M179*Cockpit!M180</f>
        <v>0</v>
      </c>
      <c r="N249" s="20">
        <f ca="1">N240*Cockpit!N178*Cockpit!N179*Cockpit!N180</f>
        <v>0</v>
      </c>
      <c r="O249" s="20">
        <f ca="1">O240*Cockpit!O178*Cockpit!O179*Cockpit!O180</f>
        <v>0</v>
      </c>
      <c r="P249" s="20">
        <f ca="1">P240*Cockpit!P178*Cockpit!P179*Cockpit!P180</f>
        <v>0</v>
      </c>
      <c r="Q249" s="20">
        <f ca="1">Q240*Cockpit!Q178*Cockpit!Q179*Cockpit!Q180</f>
        <v>0</v>
      </c>
      <c r="R249" s="20">
        <f ca="1">R240*Cockpit!R178*Cockpit!R179*Cockpit!R180</f>
        <v>0</v>
      </c>
      <c r="S249" s="20">
        <f ca="1">S240*Cockpit!S178*Cockpit!S179*Cockpit!S180</f>
        <v>0</v>
      </c>
      <c r="T249" s="20">
        <f ca="1">T240*Cockpit!T178*Cockpit!T179*Cockpit!T180</f>
        <v>0</v>
      </c>
      <c r="U249" s="20">
        <f ca="1">U240*Cockpit!U178*Cockpit!U179*Cockpit!U180</f>
        <v>0</v>
      </c>
      <c r="V249" s="20">
        <f ca="1">V240*Cockpit!V178*Cockpit!V179*Cockpit!V180</f>
        <v>0</v>
      </c>
      <c r="W249" s="20">
        <f ca="1">W240*Cockpit!W178*Cockpit!W179*Cockpit!W180</f>
        <v>0</v>
      </c>
      <c r="X249" s="20">
        <f ca="1">X240*Cockpit!X178*Cockpit!X179*Cockpit!X180</f>
        <v>0</v>
      </c>
      <c r="Y249" s="20">
        <f ca="1">Y240*Cockpit!Y178*Cockpit!Y179*Cockpit!Y180</f>
        <v>0</v>
      </c>
      <c r="Z249" s="20">
        <f ca="1">Z240*Cockpit!Z178*Cockpit!Z179*Cockpit!Z180</f>
        <v>0</v>
      </c>
      <c r="AA249" s="20">
        <f ca="1">AA240*Cockpit!AA178*Cockpit!AA179*Cockpit!AA180</f>
        <v>0</v>
      </c>
      <c r="AB249" s="20">
        <f ca="1">AB240*Cockpit!AB178*Cockpit!AB179*Cockpit!AB180</f>
        <v>0</v>
      </c>
      <c r="AC249" s="20">
        <f ca="1">AC240*Cockpit!AC178*Cockpit!AC179*Cockpit!AC180</f>
        <v>0</v>
      </c>
      <c r="AD249" s="20">
        <f ca="1">AD240*Cockpit!AD178*Cockpit!AD179*Cockpit!AD180</f>
        <v>0</v>
      </c>
      <c r="AE249" s="20">
        <f ca="1">AE240*Cockpit!AE178*Cockpit!AE179*Cockpit!AE180</f>
        <v>0</v>
      </c>
      <c r="AF249" t="s">
        <v>161</v>
      </c>
    </row>
    <row r="250" spans="2:32" ht="18.75" x14ac:dyDescent="0.3">
      <c r="B250" t="s">
        <v>264</v>
      </c>
      <c r="C250" s="328" t="s">
        <v>264</v>
      </c>
      <c r="D250" s="335"/>
      <c r="E250" s="362"/>
      <c r="F250" s="326"/>
      <c r="G250" s="326"/>
      <c r="H250" s="327"/>
      <c r="I250" s="326"/>
      <c r="J250" s="326"/>
      <c r="K250" s="379"/>
      <c r="L250" s="326"/>
      <c r="M250" s="326"/>
      <c r="N250" s="326"/>
      <c r="O250" s="326"/>
      <c r="P250" s="326"/>
      <c r="Q250" s="326"/>
      <c r="R250" s="326"/>
      <c r="S250" s="326"/>
      <c r="T250" s="326"/>
      <c r="U250" s="326"/>
      <c r="V250" s="326"/>
      <c r="W250" s="326"/>
      <c r="X250" s="326"/>
      <c r="Y250" s="326"/>
      <c r="Z250" s="326"/>
      <c r="AA250" s="326"/>
      <c r="AB250" s="326"/>
      <c r="AC250" s="326"/>
      <c r="AD250" s="326"/>
      <c r="AE250" s="326"/>
      <c r="AF250" s="326"/>
    </row>
    <row r="251" spans="2:32" x14ac:dyDescent="0.25">
      <c r="B251" t="s">
        <v>264</v>
      </c>
      <c r="C251" s="155" t="s">
        <v>287</v>
      </c>
      <c r="D251" s="329" t="s">
        <v>73</v>
      </c>
      <c r="E251" s="367">
        <f>Cockpit!E186*E187</f>
        <v>0</v>
      </c>
      <c r="F251" s="20">
        <f>Cockpit!F186*F187</f>
        <v>0</v>
      </c>
      <c r="G251" s="20">
        <f>Cockpit!G186*G187</f>
        <v>0</v>
      </c>
      <c r="H251" s="336">
        <f>Cockpit!H186*H187</f>
        <v>0</v>
      </c>
      <c r="I251" s="20">
        <f>Cockpit!I186*I187</f>
        <v>0</v>
      </c>
      <c r="J251" s="20">
        <f>Cockpit!J186*J187</f>
        <v>21600000</v>
      </c>
      <c r="K251" s="21">
        <f>Cockpit!K186*K187</f>
        <v>5400000</v>
      </c>
      <c r="L251" s="20">
        <f>Cockpit!L186*L187</f>
        <v>18000000</v>
      </c>
      <c r="M251" s="20">
        <f>Cockpit!M186*M187</f>
        <v>45000000</v>
      </c>
      <c r="N251" s="20">
        <f>Cockpit!N186*N187</f>
        <v>81000000</v>
      </c>
      <c r="O251" s="20">
        <f>Cockpit!O186*O187</f>
        <v>117000000</v>
      </c>
      <c r="P251" s="20">
        <f>Cockpit!P186*P187</f>
        <v>153000000</v>
      </c>
      <c r="Q251" s="20">
        <f>Cockpit!Q186*Q187</f>
        <v>189000000</v>
      </c>
      <c r="R251" s="20">
        <f>Cockpit!R186*R187</f>
        <v>225000000</v>
      </c>
      <c r="S251" s="20">
        <f>Cockpit!S186*S187</f>
        <v>261000000</v>
      </c>
      <c r="T251" s="20">
        <f>Cockpit!T186*T187</f>
        <v>297000000</v>
      </c>
      <c r="U251" s="20">
        <f>Cockpit!U186*U187</f>
        <v>333000000</v>
      </c>
      <c r="V251" s="20">
        <f>Cockpit!V186*V187</f>
        <v>369000000</v>
      </c>
      <c r="W251" s="20">
        <f>Cockpit!W186*W187</f>
        <v>405000000</v>
      </c>
      <c r="X251" s="20">
        <f>Cockpit!X186*X187</f>
        <v>441000000</v>
      </c>
      <c r="Y251" s="20">
        <f>Cockpit!Y186*Y187</f>
        <v>477000000</v>
      </c>
      <c r="Z251" s="20">
        <f>Cockpit!Z186*Z187</f>
        <v>513000000</v>
      </c>
      <c r="AA251" s="20">
        <f>Cockpit!AA186*AA187</f>
        <v>549000000</v>
      </c>
      <c r="AB251" s="20">
        <f>Cockpit!AB186*AB187</f>
        <v>585000000</v>
      </c>
      <c r="AC251" s="20">
        <f>Cockpit!AC186*AC187</f>
        <v>621000000</v>
      </c>
      <c r="AD251" s="20">
        <f>Cockpit!AD186*AD187</f>
        <v>657000000</v>
      </c>
      <c r="AE251" s="20">
        <f>Cockpit!AE186*AE187</f>
        <v>693000000</v>
      </c>
      <c r="AF251" t="s">
        <v>163</v>
      </c>
    </row>
    <row r="252" spans="2:32" x14ac:dyDescent="0.25">
      <c r="B252" t="s">
        <v>264</v>
      </c>
      <c r="C252" s="155" t="s">
        <v>315</v>
      </c>
      <c r="D252" s="329" t="s">
        <v>73</v>
      </c>
      <c r="E252" s="367">
        <f>E189*SUM($E186:E186)</f>
        <v>0</v>
      </c>
      <c r="F252" s="20">
        <f>F189*SUM($E186:F186)</f>
        <v>0</v>
      </c>
      <c r="G252" s="20">
        <f>G189*SUM($E186:G186)</f>
        <v>0</v>
      </c>
      <c r="H252" s="20">
        <f>H189*SUM($E186:H186)</f>
        <v>0</v>
      </c>
      <c r="I252" s="20">
        <f>I189*SUM($E186:I186)</f>
        <v>0</v>
      </c>
      <c r="J252" s="20">
        <f>J189*SUM($E186:J186)</f>
        <v>0</v>
      </c>
      <c r="K252" s="21">
        <f>K189*SUM($E186:K186)</f>
        <v>0</v>
      </c>
      <c r="L252" s="20">
        <f>L189*SUM($E186:L186)</f>
        <v>0</v>
      </c>
      <c r="M252" s="20">
        <f>M189*SUM($E186:M186)</f>
        <v>0</v>
      </c>
      <c r="N252" s="20">
        <f>N189*SUM($E186:N186)</f>
        <v>0</v>
      </c>
      <c r="O252" s="20">
        <f>O189*SUM($E186:O186)</f>
        <v>0</v>
      </c>
      <c r="P252" s="20">
        <f>P189*SUM($E186:P186)</f>
        <v>0</v>
      </c>
      <c r="Q252" s="20">
        <f>Q189*SUM($E186:Q186)</f>
        <v>0</v>
      </c>
      <c r="R252" s="20">
        <f>R189*SUM($E186:R186)</f>
        <v>0</v>
      </c>
      <c r="S252" s="20">
        <f>S189*SUM($E186:S186)</f>
        <v>0</v>
      </c>
      <c r="T252" s="20">
        <f>T189*SUM($E186:T186)</f>
        <v>0</v>
      </c>
      <c r="U252" s="20">
        <f>U189*SUM($E186:U186)</f>
        <v>0</v>
      </c>
      <c r="V252" s="20">
        <f>V189*SUM($E186:V186)</f>
        <v>0</v>
      </c>
      <c r="W252" s="20">
        <f>W189*SUM($E186:W186)</f>
        <v>0</v>
      </c>
      <c r="X252" s="20">
        <f>X189*SUM($E186:X186)</f>
        <v>0</v>
      </c>
      <c r="Y252" s="20">
        <f>Y189*SUM(F186:Y186)</f>
        <v>0</v>
      </c>
      <c r="Z252" s="20">
        <f t="shared" ref="Z252:AE252" si="40">Z189*SUM(G186:Z186)</f>
        <v>0</v>
      </c>
      <c r="AA252" s="20">
        <f t="shared" si="40"/>
        <v>0</v>
      </c>
      <c r="AB252" s="20">
        <f t="shared" si="40"/>
        <v>0</v>
      </c>
      <c r="AC252" s="20">
        <f t="shared" si="40"/>
        <v>0</v>
      </c>
      <c r="AD252" s="20">
        <f t="shared" si="40"/>
        <v>0</v>
      </c>
      <c r="AE252" s="20">
        <f t="shared" si="40"/>
        <v>0</v>
      </c>
    </row>
    <row r="253" spans="2:32" x14ac:dyDescent="0.25">
      <c r="B253" t="s">
        <v>264</v>
      </c>
      <c r="C253" s="155" t="s">
        <v>302</v>
      </c>
      <c r="D253" s="329" t="s">
        <v>73</v>
      </c>
      <c r="E253" s="367">
        <f ca="1">IF(COLUMN() &gt; 9, OFFSET(E186, 0, -5), 0)*E188+IF(COLUMN() &gt; 14, OFFSET(E186, 0, -10), 0)*E188+IF(COLUMN() &gt; 19, OFFSET(E186, 0, -15), 0)*E188+IF(COLUMN() &gt; 24, OFFSET(E186, 0, -20), 0)*E188</f>
        <v>0</v>
      </c>
      <c r="F253" s="20">
        <f t="shared" ref="F253:AE253" ca="1" si="41">IF(COLUMN() &gt; 9, OFFSET(F186, 0, -5), 0)*F188+IF(COLUMN() &gt; 14, OFFSET(F186, 0, -10), 0)*F188+IF(COLUMN() &gt; 19, OFFSET(F186, 0, -15), 0)*F188+IF(COLUMN() &gt; 24, OFFSET(F186, 0, -20), 0)*F188</f>
        <v>0</v>
      </c>
      <c r="G253" s="20">
        <f t="shared" ca="1" si="41"/>
        <v>0</v>
      </c>
      <c r="H253" s="336">
        <f t="shared" ca="1" si="41"/>
        <v>0</v>
      </c>
      <c r="I253" s="20">
        <f t="shared" ca="1" si="41"/>
        <v>0</v>
      </c>
      <c r="J253" s="20">
        <f t="shared" ca="1" si="41"/>
        <v>0</v>
      </c>
      <c r="K253" s="21">
        <f t="shared" ca="1" si="41"/>
        <v>0</v>
      </c>
      <c r="L253" s="20">
        <f t="shared" ca="1" si="41"/>
        <v>0</v>
      </c>
      <c r="M253" s="20">
        <f t="shared" ca="1" si="41"/>
        <v>0</v>
      </c>
      <c r="N253" s="20">
        <f t="shared" ca="1" si="41"/>
        <v>0</v>
      </c>
      <c r="O253" s="20">
        <f t="shared" ca="1" si="41"/>
        <v>60000</v>
      </c>
      <c r="P253" s="20">
        <f t="shared" ca="1" si="41"/>
        <v>15000</v>
      </c>
      <c r="Q253" s="20">
        <f t="shared" ca="1" si="41"/>
        <v>50000</v>
      </c>
      <c r="R253" s="20">
        <f t="shared" ca="1" si="41"/>
        <v>125000</v>
      </c>
      <c r="S253" s="20">
        <f t="shared" ca="1" si="41"/>
        <v>225000</v>
      </c>
      <c r="T253" s="20">
        <f t="shared" ca="1" si="41"/>
        <v>385000</v>
      </c>
      <c r="U253" s="20">
        <f t="shared" ca="1" si="41"/>
        <v>440000</v>
      </c>
      <c r="V253" s="20">
        <f t="shared" ca="1" si="41"/>
        <v>575000</v>
      </c>
      <c r="W253" s="20">
        <f t="shared" ca="1" si="41"/>
        <v>750000</v>
      </c>
      <c r="X253" s="20">
        <f t="shared" ca="1" si="41"/>
        <v>950000</v>
      </c>
      <c r="Y253" s="20">
        <f t="shared" ca="1" si="41"/>
        <v>1210000</v>
      </c>
      <c r="Z253" s="20">
        <f t="shared" ca="1" si="41"/>
        <v>1365000</v>
      </c>
      <c r="AA253" s="20">
        <f t="shared" ca="1" si="41"/>
        <v>1600000</v>
      </c>
      <c r="AB253" s="20">
        <f t="shared" ca="1" si="41"/>
        <v>1875000</v>
      </c>
      <c r="AC253" s="20">
        <f t="shared" ca="1" si="41"/>
        <v>2175000</v>
      </c>
      <c r="AD253" s="20">
        <f t="shared" ca="1" si="41"/>
        <v>2535000</v>
      </c>
      <c r="AE253" s="20">
        <f t="shared" ca="1" si="41"/>
        <v>2790000</v>
      </c>
      <c r="AF253" t="s">
        <v>165</v>
      </c>
    </row>
    <row r="254" spans="2:32" ht="18.75" hidden="1" x14ac:dyDescent="0.3">
      <c r="B254" t="s">
        <v>282</v>
      </c>
      <c r="C254" s="328" t="s">
        <v>282</v>
      </c>
      <c r="D254" s="335"/>
      <c r="E254" s="362"/>
      <c r="F254" s="326"/>
      <c r="G254" s="326"/>
      <c r="H254" s="327"/>
      <c r="I254" s="326"/>
      <c r="J254" s="326"/>
      <c r="K254" s="379"/>
      <c r="L254" s="326"/>
      <c r="M254" s="326"/>
      <c r="N254" s="326"/>
      <c r="O254" s="326"/>
      <c r="P254" s="326"/>
      <c r="Q254" s="326"/>
      <c r="R254" s="326"/>
      <c r="S254" s="326"/>
      <c r="T254" s="326"/>
      <c r="U254" s="326"/>
      <c r="V254" s="326"/>
      <c r="W254" s="326"/>
      <c r="X254" s="326"/>
      <c r="Y254" s="326"/>
      <c r="Z254" s="326"/>
      <c r="AA254" s="326"/>
      <c r="AB254" s="326"/>
      <c r="AC254" s="326"/>
      <c r="AD254" s="326"/>
      <c r="AE254" s="326"/>
      <c r="AF254" s="326"/>
    </row>
    <row r="255" spans="2:32" hidden="1" x14ac:dyDescent="0.25">
      <c r="B255" t="s">
        <v>282</v>
      </c>
      <c r="C255" s="155" t="s">
        <v>288</v>
      </c>
      <c r="D255" s="329" t="s">
        <v>73</v>
      </c>
      <c r="E255" s="367">
        <f ca="1">E195*E241</f>
        <v>0</v>
      </c>
      <c r="F255" s="20">
        <f t="shared" ref="F255:AE255" ca="1" si="42">F195*F241</f>
        <v>0</v>
      </c>
      <c r="G255" s="20">
        <f t="shared" ca="1" si="42"/>
        <v>0</v>
      </c>
      <c r="H255" s="336">
        <f t="shared" ca="1" si="42"/>
        <v>0</v>
      </c>
      <c r="I255" s="20">
        <f t="shared" ca="1" si="42"/>
        <v>0</v>
      </c>
      <c r="J255" s="20">
        <f t="shared" ca="1" si="42"/>
        <v>0</v>
      </c>
      <c r="K255" s="21">
        <f t="shared" ca="1" si="42"/>
        <v>0</v>
      </c>
      <c r="L255" s="20">
        <f t="shared" ca="1" si="42"/>
        <v>0</v>
      </c>
      <c r="M255" s="20">
        <f t="shared" ca="1" si="42"/>
        <v>0</v>
      </c>
      <c r="N255" s="20">
        <f t="shared" ca="1" si="42"/>
        <v>0</v>
      </c>
      <c r="O255" s="20">
        <f t="shared" ca="1" si="42"/>
        <v>0</v>
      </c>
      <c r="P255" s="20">
        <f t="shared" ca="1" si="42"/>
        <v>0</v>
      </c>
      <c r="Q255" s="20">
        <f t="shared" ca="1" si="42"/>
        <v>0</v>
      </c>
      <c r="R255" s="20">
        <f t="shared" ca="1" si="42"/>
        <v>0</v>
      </c>
      <c r="S255" s="20">
        <f t="shared" ca="1" si="42"/>
        <v>0</v>
      </c>
      <c r="T255" s="20">
        <f t="shared" ca="1" si="42"/>
        <v>0</v>
      </c>
      <c r="U255" s="20">
        <f t="shared" ca="1" si="42"/>
        <v>0</v>
      </c>
      <c r="V255" s="20">
        <f t="shared" ca="1" si="42"/>
        <v>0</v>
      </c>
      <c r="W255" s="20">
        <f t="shared" ca="1" si="42"/>
        <v>0</v>
      </c>
      <c r="X255" s="20">
        <f t="shared" ca="1" si="42"/>
        <v>0</v>
      </c>
      <c r="Y255" s="20">
        <f t="shared" ca="1" si="42"/>
        <v>0</v>
      </c>
      <c r="Z255" s="20">
        <f t="shared" ca="1" si="42"/>
        <v>0</v>
      </c>
      <c r="AA255" s="20">
        <f t="shared" ca="1" si="42"/>
        <v>0</v>
      </c>
      <c r="AB255" s="20">
        <f t="shared" ca="1" si="42"/>
        <v>0</v>
      </c>
      <c r="AC255" s="20">
        <f t="shared" ca="1" si="42"/>
        <v>0</v>
      </c>
      <c r="AD255" s="20">
        <f t="shared" ca="1" si="42"/>
        <v>0</v>
      </c>
      <c r="AE255" s="20">
        <f t="shared" ca="1" si="42"/>
        <v>0</v>
      </c>
    </row>
    <row r="256" spans="2:32" ht="18.75" hidden="1" x14ac:dyDescent="0.3">
      <c r="B256" t="s">
        <v>283</v>
      </c>
      <c r="C256" s="328" t="s">
        <v>283</v>
      </c>
      <c r="D256" s="335"/>
      <c r="E256" s="362"/>
      <c r="F256" s="326"/>
      <c r="G256" s="326"/>
      <c r="H256" s="327"/>
      <c r="I256" s="326"/>
      <c r="J256" s="326"/>
      <c r="K256" s="379"/>
      <c r="L256" s="326"/>
      <c r="M256" s="326"/>
      <c r="N256" s="326"/>
      <c r="O256" s="326"/>
      <c r="P256" s="326"/>
      <c r="Q256" s="326"/>
      <c r="R256" s="326"/>
      <c r="S256" s="326"/>
      <c r="T256" s="326"/>
      <c r="U256" s="326"/>
      <c r="V256" s="326"/>
      <c r="W256" s="326"/>
      <c r="X256" s="326"/>
      <c r="Y256" s="326"/>
      <c r="Z256" s="326"/>
      <c r="AA256" s="326"/>
      <c r="AB256" s="326"/>
      <c r="AC256" s="326"/>
      <c r="AD256" s="326"/>
      <c r="AE256" s="326"/>
      <c r="AF256" s="326"/>
    </row>
    <row r="257" spans="2:32" hidden="1" x14ac:dyDescent="0.25">
      <c r="B257" t="s">
        <v>283</v>
      </c>
      <c r="C257" s="155" t="s">
        <v>289</v>
      </c>
      <c r="D257" s="329" t="s">
        <v>73</v>
      </c>
      <c r="E257" s="367">
        <f ca="1">E202*E242</f>
        <v>0</v>
      </c>
      <c r="F257" s="20">
        <f t="shared" ref="F257:AE257" ca="1" si="43">F202*F242</f>
        <v>0</v>
      </c>
      <c r="G257" s="20">
        <f t="shared" ca="1" si="43"/>
        <v>0</v>
      </c>
      <c r="H257" s="336">
        <f t="shared" ca="1" si="43"/>
        <v>0</v>
      </c>
      <c r="I257" s="20">
        <f t="shared" ca="1" si="43"/>
        <v>0</v>
      </c>
      <c r="J257" s="20">
        <f t="shared" ca="1" si="43"/>
        <v>0</v>
      </c>
      <c r="K257" s="21">
        <f t="shared" ca="1" si="43"/>
        <v>0</v>
      </c>
      <c r="L257" s="20">
        <f t="shared" ca="1" si="43"/>
        <v>0</v>
      </c>
      <c r="M257" s="20">
        <f t="shared" ca="1" si="43"/>
        <v>0</v>
      </c>
      <c r="N257" s="20">
        <f t="shared" ca="1" si="43"/>
        <v>0</v>
      </c>
      <c r="O257" s="20">
        <f t="shared" ca="1" si="43"/>
        <v>0</v>
      </c>
      <c r="P257" s="20">
        <f t="shared" ca="1" si="43"/>
        <v>0</v>
      </c>
      <c r="Q257" s="20">
        <f t="shared" ca="1" si="43"/>
        <v>0</v>
      </c>
      <c r="R257" s="20">
        <f t="shared" ca="1" si="43"/>
        <v>0</v>
      </c>
      <c r="S257" s="20">
        <f t="shared" ca="1" si="43"/>
        <v>0</v>
      </c>
      <c r="T257" s="20">
        <f t="shared" ca="1" si="43"/>
        <v>0</v>
      </c>
      <c r="U257" s="20">
        <f t="shared" ca="1" si="43"/>
        <v>0</v>
      </c>
      <c r="V257" s="20">
        <f t="shared" ca="1" si="43"/>
        <v>0</v>
      </c>
      <c r="W257" s="20">
        <f t="shared" ca="1" si="43"/>
        <v>0</v>
      </c>
      <c r="X257" s="20">
        <f t="shared" ca="1" si="43"/>
        <v>0</v>
      </c>
      <c r="Y257" s="20">
        <f t="shared" ca="1" si="43"/>
        <v>0</v>
      </c>
      <c r="Z257" s="20">
        <f t="shared" ca="1" si="43"/>
        <v>0</v>
      </c>
      <c r="AA257" s="20">
        <f t="shared" ca="1" si="43"/>
        <v>0</v>
      </c>
      <c r="AB257" s="20">
        <f t="shared" ca="1" si="43"/>
        <v>0</v>
      </c>
      <c r="AC257" s="20">
        <f t="shared" ca="1" si="43"/>
        <v>0</v>
      </c>
      <c r="AD257" s="20">
        <f t="shared" ca="1" si="43"/>
        <v>0</v>
      </c>
      <c r="AE257" s="20">
        <f t="shared" ca="1" si="43"/>
        <v>0</v>
      </c>
    </row>
    <row r="258" spans="2:32" ht="18.75" hidden="1" x14ac:dyDescent="0.3">
      <c r="B258" t="s">
        <v>265</v>
      </c>
      <c r="C258" s="328" t="s">
        <v>265</v>
      </c>
      <c r="D258" s="335"/>
      <c r="E258" s="362"/>
      <c r="F258" s="326"/>
      <c r="G258" s="326"/>
      <c r="H258" s="327"/>
      <c r="I258" s="326"/>
      <c r="J258" s="326"/>
      <c r="K258" s="379"/>
      <c r="L258" s="326"/>
      <c r="M258" s="326"/>
      <c r="N258" s="326"/>
      <c r="O258" s="326"/>
      <c r="P258" s="326"/>
      <c r="Q258" s="326"/>
      <c r="R258" s="326"/>
      <c r="S258" s="326"/>
      <c r="T258" s="326"/>
      <c r="U258" s="326"/>
      <c r="V258" s="326"/>
      <c r="W258" s="326"/>
      <c r="X258" s="326"/>
      <c r="Y258" s="326"/>
      <c r="Z258" s="326"/>
      <c r="AA258" s="326"/>
      <c r="AB258" s="326"/>
      <c r="AC258" s="326"/>
      <c r="AD258" s="326"/>
      <c r="AE258" s="326"/>
      <c r="AF258" s="326"/>
    </row>
    <row r="259" spans="2:32" hidden="1" x14ac:dyDescent="0.25">
      <c r="B259" t="s">
        <v>265</v>
      </c>
      <c r="C259" s="155" t="s">
        <v>291</v>
      </c>
      <c r="D259" s="329" t="s">
        <v>73</v>
      </c>
      <c r="E259" s="367">
        <f ca="1">E211*E212+E243*E213*E214*E215</f>
        <v>0</v>
      </c>
      <c r="F259" s="20">
        <f t="shared" ref="F259:AE259" ca="1" si="44">F211*F212+F243*F213*F214*F215</f>
        <v>0</v>
      </c>
      <c r="G259" s="20">
        <f t="shared" ca="1" si="44"/>
        <v>0</v>
      </c>
      <c r="H259" s="336">
        <f t="shared" ca="1" si="44"/>
        <v>0</v>
      </c>
      <c r="I259" s="20">
        <f t="shared" ca="1" si="44"/>
        <v>0</v>
      </c>
      <c r="J259" s="20">
        <f t="shared" ca="1" si="44"/>
        <v>0</v>
      </c>
      <c r="K259" s="21">
        <f t="shared" ca="1" si="44"/>
        <v>0</v>
      </c>
      <c r="L259" s="20">
        <f t="shared" ca="1" si="44"/>
        <v>0</v>
      </c>
      <c r="M259" s="20">
        <f t="shared" ca="1" si="44"/>
        <v>0</v>
      </c>
      <c r="N259" s="20">
        <f t="shared" ca="1" si="44"/>
        <v>0</v>
      </c>
      <c r="O259" s="20">
        <f t="shared" ca="1" si="44"/>
        <v>0</v>
      </c>
      <c r="P259" s="20">
        <f t="shared" ca="1" si="44"/>
        <v>0</v>
      </c>
      <c r="Q259" s="20">
        <f t="shared" ca="1" si="44"/>
        <v>0</v>
      </c>
      <c r="R259" s="20">
        <f t="shared" ca="1" si="44"/>
        <v>0</v>
      </c>
      <c r="S259" s="20">
        <f t="shared" ca="1" si="44"/>
        <v>0</v>
      </c>
      <c r="T259" s="20">
        <f t="shared" ca="1" si="44"/>
        <v>0</v>
      </c>
      <c r="U259" s="20">
        <f t="shared" ca="1" si="44"/>
        <v>0</v>
      </c>
      <c r="V259" s="20">
        <f t="shared" ca="1" si="44"/>
        <v>0</v>
      </c>
      <c r="W259" s="20">
        <f t="shared" ca="1" si="44"/>
        <v>0</v>
      </c>
      <c r="X259" s="20">
        <f t="shared" ca="1" si="44"/>
        <v>0</v>
      </c>
      <c r="Y259" s="20">
        <f t="shared" ca="1" si="44"/>
        <v>0</v>
      </c>
      <c r="Z259" s="20">
        <f t="shared" ca="1" si="44"/>
        <v>0</v>
      </c>
      <c r="AA259" s="20">
        <f t="shared" ca="1" si="44"/>
        <v>0</v>
      </c>
      <c r="AB259" s="20">
        <f t="shared" ca="1" si="44"/>
        <v>0</v>
      </c>
      <c r="AC259" s="20">
        <f t="shared" ca="1" si="44"/>
        <v>0</v>
      </c>
      <c r="AD259" s="20">
        <f t="shared" ca="1" si="44"/>
        <v>0</v>
      </c>
      <c r="AE259" s="20">
        <f t="shared" ca="1" si="44"/>
        <v>0</v>
      </c>
    </row>
    <row r="260" spans="2:32" ht="18.75" hidden="1" x14ac:dyDescent="0.3">
      <c r="B260" t="s">
        <v>278</v>
      </c>
      <c r="C260" s="328" t="s">
        <v>278</v>
      </c>
      <c r="D260" s="335"/>
      <c r="E260" s="362"/>
      <c r="F260" s="326"/>
      <c r="G260" s="326"/>
      <c r="H260" s="327"/>
      <c r="I260" s="326"/>
      <c r="J260" s="326"/>
      <c r="K260" s="379"/>
      <c r="L260" s="326"/>
      <c r="M260" s="326"/>
      <c r="N260" s="326"/>
      <c r="O260" s="326"/>
      <c r="P260" s="326"/>
      <c r="Q260" s="326"/>
      <c r="R260" s="326"/>
      <c r="S260" s="326"/>
      <c r="T260" s="326"/>
      <c r="U260" s="326"/>
      <c r="V260" s="326"/>
      <c r="W260" s="326"/>
      <c r="X260" s="326"/>
      <c r="Y260" s="326"/>
      <c r="Z260" s="326"/>
      <c r="AA260" s="326"/>
      <c r="AB260" s="326"/>
      <c r="AC260" s="326"/>
      <c r="AD260" s="326"/>
      <c r="AE260" s="326"/>
      <c r="AF260" s="326"/>
    </row>
    <row r="261" spans="2:32" hidden="1" x14ac:dyDescent="0.25">
      <c r="B261" t="s">
        <v>278</v>
      </c>
      <c r="C261" s="155" t="s">
        <v>290</v>
      </c>
      <c r="D261" s="329" t="s">
        <v>73</v>
      </c>
      <c r="E261" s="367">
        <f ca="1">E221*E222+E244*E223</f>
        <v>0</v>
      </c>
      <c r="F261" s="20">
        <f t="shared" ref="F261:AE261" ca="1" si="45">F221*F222+F244*F223</f>
        <v>0</v>
      </c>
      <c r="G261" s="20">
        <f t="shared" ca="1" si="45"/>
        <v>0</v>
      </c>
      <c r="H261" s="336">
        <f t="shared" ca="1" si="45"/>
        <v>0</v>
      </c>
      <c r="I261" s="20">
        <f t="shared" ca="1" si="45"/>
        <v>0</v>
      </c>
      <c r="J261" s="20">
        <f t="shared" ca="1" si="45"/>
        <v>0</v>
      </c>
      <c r="K261" s="21">
        <f t="shared" ca="1" si="45"/>
        <v>0</v>
      </c>
      <c r="L261" s="20">
        <f t="shared" ca="1" si="45"/>
        <v>0</v>
      </c>
      <c r="M261" s="20">
        <f t="shared" ca="1" si="45"/>
        <v>0</v>
      </c>
      <c r="N261" s="20">
        <f t="shared" ca="1" si="45"/>
        <v>0</v>
      </c>
      <c r="O261" s="20">
        <f t="shared" ca="1" si="45"/>
        <v>0</v>
      </c>
      <c r="P261" s="20">
        <f t="shared" ca="1" si="45"/>
        <v>0</v>
      </c>
      <c r="Q261" s="20">
        <f t="shared" ca="1" si="45"/>
        <v>0</v>
      </c>
      <c r="R261" s="20">
        <f t="shared" ca="1" si="45"/>
        <v>0</v>
      </c>
      <c r="S261" s="20">
        <f t="shared" ca="1" si="45"/>
        <v>0</v>
      </c>
      <c r="T261" s="20">
        <f t="shared" ca="1" si="45"/>
        <v>0</v>
      </c>
      <c r="U261" s="20">
        <f t="shared" ca="1" si="45"/>
        <v>0</v>
      </c>
      <c r="V261" s="20">
        <f t="shared" ca="1" si="45"/>
        <v>0</v>
      </c>
      <c r="W261" s="20">
        <f t="shared" ca="1" si="45"/>
        <v>0</v>
      </c>
      <c r="X261" s="20">
        <f t="shared" ca="1" si="45"/>
        <v>0</v>
      </c>
      <c r="Y261" s="20">
        <f t="shared" ca="1" si="45"/>
        <v>0</v>
      </c>
      <c r="Z261" s="20">
        <f t="shared" ca="1" si="45"/>
        <v>0</v>
      </c>
      <c r="AA261" s="20">
        <f t="shared" ca="1" si="45"/>
        <v>0</v>
      </c>
      <c r="AB261" s="20">
        <f t="shared" ca="1" si="45"/>
        <v>0</v>
      </c>
      <c r="AC261" s="20">
        <f t="shared" ca="1" si="45"/>
        <v>0</v>
      </c>
      <c r="AD261" s="20">
        <f t="shared" ca="1" si="45"/>
        <v>0</v>
      </c>
      <c r="AE261" s="20">
        <f t="shared" ca="1" si="45"/>
        <v>0</v>
      </c>
    </row>
    <row r="262" spans="2:32" ht="18.75" hidden="1" x14ac:dyDescent="0.3">
      <c r="B262" t="s">
        <v>296</v>
      </c>
      <c r="C262" s="328" t="s">
        <v>296</v>
      </c>
      <c r="D262" s="335"/>
      <c r="E262" s="362"/>
      <c r="F262" s="326"/>
      <c r="G262" s="326"/>
      <c r="H262" s="327"/>
      <c r="I262" s="326"/>
      <c r="J262" s="326"/>
      <c r="K262" s="379"/>
      <c r="L262" s="326"/>
      <c r="M262" s="326"/>
      <c r="N262" s="326"/>
      <c r="O262" s="326"/>
      <c r="P262" s="326"/>
      <c r="Q262" s="326"/>
      <c r="R262" s="326"/>
      <c r="S262" s="326"/>
      <c r="T262" s="326"/>
      <c r="U262" s="326"/>
      <c r="V262" s="326"/>
      <c r="W262" s="326"/>
      <c r="X262" s="326"/>
      <c r="Y262" s="326"/>
      <c r="Z262" s="326"/>
      <c r="AA262" s="326"/>
      <c r="AB262" s="326"/>
      <c r="AC262" s="326"/>
      <c r="AD262" s="326"/>
      <c r="AE262" s="326"/>
      <c r="AF262" s="326"/>
    </row>
    <row r="263" spans="2:32" hidden="1" x14ac:dyDescent="0.25">
      <c r="B263" t="s">
        <v>296</v>
      </c>
      <c r="C263" s="155" t="s">
        <v>297</v>
      </c>
      <c r="D263" s="329" t="s">
        <v>73</v>
      </c>
      <c r="E263" s="367">
        <f ca="1">E230*E231+E245*E233</f>
        <v>0</v>
      </c>
      <c r="F263" s="20">
        <f t="shared" ref="F263:AE263" ca="1" si="46">F230*F231+F245*F233</f>
        <v>0</v>
      </c>
      <c r="G263" s="20">
        <f t="shared" ca="1" si="46"/>
        <v>0</v>
      </c>
      <c r="H263" s="336">
        <f t="shared" ca="1" si="46"/>
        <v>0</v>
      </c>
      <c r="I263" s="20">
        <f t="shared" ca="1" si="46"/>
        <v>0</v>
      </c>
      <c r="J263" s="20">
        <f t="shared" ca="1" si="46"/>
        <v>0</v>
      </c>
      <c r="K263" s="21">
        <f t="shared" ca="1" si="46"/>
        <v>0</v>
      </c>
      <c r="L263" s="20">
        <f t="shared" ca="1" si="46"/>
        <v>0</v>
      </c>
      <c r="M263" s="20">
        <f t="shared" ca="1" si="46"/>
        <v>0</v>
      </c>
      <c r="N263" s="20">
        <f t="shared" ca="1" si="46"/>
        <v>0</v>
      </c>
      <c r="O263" s="20">
        <f t="shared" ca="1" si="46"/>
        <v>0</v>
      </c>
      <c r="P263" s="20">
        <f t="shared" ca="1" si="46"/>
        <v>0</v>
      </c>
      <c r="Q263" s="20">
        <f t="shared" ca="1" si="46"/>
        <v>0</v>
      </c>
      <c r="R263" s="20">
        <f t="shared" ca="1" si="46"/>
        <v>0</v>
      </c>
      <c r="S263" s="20">
        <f t="shared" ca="1" si="46"/>
        <v>0</v>
      </c>
      <c r="T263" s="20">
        <f t="shared" ca="1" si="46"/>
        <v>0</v>
      </c>
      <c r="U263" s="20">
        <f t="shared" ca="1" si="46"/>
        <v>0</v>
      </c>
      <c r="V263" s="20">
        <f t="shared" ca="1" si="46"/>
        <v>0</v>
      </c>
      <c r="W263" s="20">
        <f t="shared" ca="1" si="46"/>
        <v>0</v>
      </c>
      <c r="X263" s="20">
        <f t="shared" ca="1" si="46"/>
        <v>0</v>
      </c>
      <c r="Y263" s="20">
        <f t="shared" ca="1" si="46"/>
        <v>0</v>
      </c>
      <c r="Z263" s="20">
        <f t="shared" ca="1" si="46"/>
        <v>0</v>
      </c>
      <c r="AA263" s="20">
        <f t="shared" ca="1" si="46"/>
        <v>0</v>
      </c>
      <c r="AB263" s="20">
        <f t="shared" ca="1" si="46"/>
        <v>0</v>
      </c>
      <c r="AC263" s="20">
        <f t="shared" ca="1" si="46"/>
        <v>0</v>
      </c>
      <c r="AD263" s="20">
        <f t="shared" ca="1" si="46"/>
        <v>0</v>
      </c>
      <c r="AE263" s="20">
        <f t="shared" ca="1" si="46"/>
        <v>0</v>
      </c>
    </row>
    <row r="264" spans="2:32" x14ac:dyDescent="0.25">
      <c r="C264" s="293" t="s">
        <v>345</v>
      </c>
      <c r="D264" s="335" t="s">
        <v>73</v>
      </c>
      <c r="E264" s="370">
        <f ca="1">IF($D$10="Yes",E249,0)+IF($E$10="Yes",SUM(E251:E253),0)+IF($F$10="Yes",E255,0)+IF($G$10="Yes",E257,0)+IF($H$10="Yes",E259,0)+IF($I$10="Yes",E261,0)+IF($J$10="Yes",E263,0)</f>
        <v>0</v>
      </c>
      <c r="F264" s="341">
        <f t="shared" ref="F264:AE264" ca="1" si="47">IF($D$10="Yes",F249,0)+IF($E$10="Yes",SUM(F251:F253),0)+IF($F$10="Yes",F255,0)+IF($G$10="Yes",F257,0)+IF($H$10="Yes",F259,0)+IF($I$10="Yes",F261,0)+IF($J$10="Yes",F263,0)</f>
        <v>0</v>
      </c>
      <c r="G264" s="341">
        <f t="shared" ca="1" si="47"/>
        <v>0</v>
      </c>
      <c r="H264" s="342">
        <f t="shared" ca="1" si="47"/>
        <v>0</v>
      </c>
      <c r="I264" s="341">
        <f t="shared" ca="1" si="47"/>
        <v>0</v>
      </c>
      <c r="J264" s="341">
        <f t="shared" ca="1" si="47"/>
        <v>21600000</v>
      </c>
      <c r="K264" s="381">
        <f t="shared" ca="1" si="47"/>
        <v>5400000</v>
      </c>
      <c r="L264" s="341">
        <f t="shared" ca="1" si="47"/>
        <v>18000000</v>
      </c>
      <c r="M264" s="341">
        <f t="shared" ca="1" si="47"/>
        <v>45000000</v>
      </c>
      <c r="N264" s="341">
        <f t="shared" ca="1" si="47"/>
        <v>81000000</v>
      </c>
      <c r="O264" s="341">
        <f t="shared" ca="1" si="47"/>
        <v>117060000</v>
      </c>
      <c r="P264" s="341">
        <f t="shared" ca="1" si="47"/>
        <v>153015000</v>
      </c>
      <c r="Q264" s="341">
        <f t="shared" ca="1" si="47"/>
        <v>189050000</v>
      </c>
      <c r="R264" s="341">
        <f t="shared" ca="1" si="47"/>
        <v>225125000</v>
      </c>
      <c r="S264" s="341">
        <f t="shared" ca="1" si="47"/>
        <v>261225000</v>
      </c>
      <c r="T264" s="341">
        <f t="shared" ca="1" si="47"/>
        <v>297385000</v>
      </c>
      <c r="U264" s="341">
        <f t="shared" ca="1" si="47"/>
        <v>333440000</v>
      </c>
      <c r="V264" s="341">
        <f t="shared" ca="1" si="47"/>
        <v>369575000</v>
      </c>
      <c r="W264" s="341">
        <f t="shared" ca="1" si="47"/>
        <v>405750000</v>
      </c>
      <c r="X264" s="341">
        <f t="shared" ca="1" si="47"/>
        <v>441950000</v>
      </c>
      <c r="Y264" s="341">
        <f t="shared" ca="1" si="47"/>
        <v>478210000</v>
      </c>
      <c r="Z264" s="341">
        <f t="shared" ca="1" si="47"/>
        <v>514365000</v>
      </c>
      <c r="AA264" s="341">
        <f t="shared" ca="1" si="47"/>
        <v>550600000</v>
      </c>
      <c r="AB264" s="341">
        <f t="shared" ca="1" si="47"/>
        <v>586875000</v>
      </c>
      <c r="AC264" s="341">
        <f t="shared" ca="1" si="47"/>
        <v>623175000</v>
      </c>
      <c r="AD264" s="341">
        <f t="shared" ca="1" si="47"/>
        <v>659535000</v>
      </c>
      <c r="AE264" s="341">
        <f t="shared" ca="1" si="47"/>
        <v>695790000</v>
      </c>
    </row>
    <row r="265" spans="2:32" x14ac:dyDescent="0.25">
      <c r="B265" s="293"/>
      <c r="C265" s="293"/>
      <c r="D265" s="343"/>
      <c r="E265" s="364"/>
      <c r="F265" s="19"/>
      <c r="G265" s="19"/>
      <c r="H265" s="331"/>
      <c r="I265" s="19"/>
      <c r="J265" s="19"/>
      <c r="K265" s="32"/>
      <c r="L265" s="19"/>
      <c r="M265" s="19"/>
      <c r="N265" s="19"/>
      <c r="O265" s="19"/>
    </row>
    <row r="266" spans="2:32" x14ac:dyDescent="0.25">
      <c r="B266" s="293"/>
      <c r="C266" s="340" t="s">
        <v>231</v>
      </c>
      <c r="D266" s="343"/>
      <c r="E266" s="364"/>
      <c r="F266" s="19"/>
      <c r="G266" s="19"/>
      <c r="H266" s="331"/>
      <c r="I266" s="19"/>
      <c r="J266" s="19"/>
      <c r="K266" s="32"/>
      <c r="L266" s="19"/>
      <c r="M266" s="19"/>
      <c r="N266" s="19"/>
      <c r="O266" s="19"/>
    </row>
    <row r="267" spans="2:32" ht="18.75" hidden="1" x14ac:dyDescent="0.3">
      <c r="B267" t="s">
        <v>263</v>
      </c>
      <c r="C267" s="328" t="s">
        <v>263</v>
      </c>
      <c r="D267" s="335"/>
      <c r="E267" s="362"/>
      <c r="F267" s="326"/>
      <c r="G267" s="326"/>
      <c r="H267" s="327"/>
      <c r="I267" s="326"/>
      <c r="J267" s="326"/>
      <c r="K267" s="379"/>
      <c r="L267" s="326"/>
      <c r="M267" s="326"/>
      <c r="N267" s="326"/>
      <c r="O267" s="326"/>
      <c r="P267" s="326"/>
      <c r="Q267" s="326"/>
      <c r="R267" s="326"/>
      <c r="S267" s="326"/>
      <c r="T267" s="326"/>
      <c r="U267" s="326"/>
      <c r="V267" s="326"/>
      <c r="W267" s="326"/>
      <c r="X267" s="326"/>
      <c r="Y267" s="326"/>
      <c r="Z267" s="326"/>
      <c r="AA267" s="326"/>
      <c r="AB267" s="326"/>
      <c r="AC267" s="326"/>
      <c r="AD267" s="326"/>
      <c r="AE267" s="326"/>
      <c r="AF267" s="326"/>
    </row>
    <row r="268" spans="2:32" hidden="1" x14ac:dyDescent="0.25">
      <c r="B268" t="s">
        <v>263</v>
      </c>
      <c r="C268" s="157" t="s">
        <v>317</v>
      </c>
      <c r="D268" s="329" t="s">
        <v>73</v>
      </c>
      <c r="E268" s="365">
        <f ca="1">'TEA values'!$C$26*Cockpit!E179*365*E240</f>
        <v>0</v>
      </c>
      <c r="F268" s="14">
        <f ca="1">'TEA values'!$C$26*Cockpit!F179*365*F240</f>
        <v>0</v>
      </c>
      <c r="G268" s="14">
        <f ca="1">'TEA values'!$C$26*Cockpit!G179*365*G240</f>
        <v>0</v>
      </c>
      <c r="H268" s="332">
        <f ca="1">'TEA values'!$C$26*Cockpit!H179*365*H240</f>
        <v>0</v>
      </c>
      <c r="I268" s="14">
        <f ca="1">'TEA values'!$C$26*Cockpit!I179*365*I240</f>
        <v>0</v>
      </c>
      <c r="J268" s="14">
        <f ca="1">'TEA values'!$C$26*Cockpit!J179*365*J240</f>
        <v>0</v>
      </c>
      <c r="K268" s="15">
        <f ca="1">'TEA values'!$C$26*Cockpit!K179*365*K240</f>
        <v>0</v>
      </c>
      <c r="L268" s="14">
        <f ca="1">'TEA values'!$C$26*Cockpit!L179*365*L240</f>
        <v>0</v>
      </c>
      <c r="M268" s="14">
        <f ca="1">'TEA values'!$C$26*Cockpit!M179*365*M240</f>
        <v>0</v>
      </c>
      <c r="N268" s="14">
        <f ca="1">'TEA values'!$C$26*Cockpit!N179*365*N240</f>
        <v>0</v>
      </c>
      <c r="O268" s="14">
        <f ca="1">'TEA values'!$C$26*Cockpit!O179*365*O240</f>
        <v>0</v>
      </c>
      <c r="P268" s="14">
        <f ca="1">'TEA values'!$C$26*Cockpit!P179*365*P240</f>
        <v>0</v>
      </c>
      <c r="Q268" s="14">
        <f ca="1">'TEA values'!$C$26*Cockpit!Q179*365*Q240</f>
        <v>0</v>
      </c>
      <c r="R268" s="14">
        <f ca="1">'TEA values'!$C$26*Cockpit!R179*365*R240</f>
        <v>0</v>
      </c>
      <c r="S268" s="14">
        <f ca="1">'TEA values'!$C$26*Cockpit!S179*365*S240</f>
        <v>0</v>
      </c>
      <c r="T268" s="14">
        <f ca="1">'TEA values'!$C$26*Cockpit!T179*365*T240</f>
        <v>0</v>
      </c>
      <c r="U268" s="14">
        <f ca="1">'TEA values'!$C$26*Cockpit!U179*365*U240</f>
        <v>0</v>
      </c>
      <c r="V268" s="14">
        <f ca="1">'TEA values'!$C$26*Cockpit!V179*365*V240</f>
        <v>0</v>
      </c>
      <c r="W268" s="14">
        <f ca="1">'TEA values'!$C$26*Cockpit!W179*365*W240</f>
        <v>0</v>
      </c>
      <c r="X268" s="14">
        <f ca="1">'TEA values'!$C$26*Cockpit!X179*365*X240</f>
        <v>0</v>
      </c>
      <c r="Y268" s="14">
        <f ca="1">'TEA values'!$C$26*Cockpit!Y179*365*Y240</f>
        <v>0</v>
      </c>
      <c r="Z268" s="14">
        <f ca="1">'TEA values'!$C$26*Cockpit!Z179*365*Z240</f>
        <v>0</v>
      </c>
      <c r="AA268" s="14">
        <f ca="1">'TEA values'!$C$26*Cockpit!AA179*365*AA240</f>
        <v>0</v>
      </c>
      <c r="AB268" s="14">
        <f ca="1">'TEA values'!$C$26*Cockpit!AB179*365*AB240</f>
        <v>0</v>
      </c>
      <c r="AC268" s="14">
        <f ca="1">'TEA values'!$C$26*Cockpit!AC179*365*AC240</f>
        <v>0</v>
      </c>
      <c r="AD268" s="14">
        <f ca="1">'TEA values'!$C$26*Cockpit!AD179*365*AD240</f>
        <v>0</v>
      </c>
      <c r="AE268" s="14">
        <f ca="1">'TEA values'!$C$26*Cockpit!AE179*365*AE240</f>
        <v>0</v>
      </c>
    </row>
    <row r="269" spans="2:32" hidden="1" x14ac:dyDescent="0.25">
      <c r="B269" t="s">
        <v>263</v>
      </c>
      <c r="C269" s="157" t="s">
        <v>318</v>
      </c>
      <c r="D269" s="329" t="s">
        <v>73</v>
      </c>
      <c r="E269" s="365"/>
      <c r="F269" s="14"/>
      <c r="G269" s="14"/>
      <c r="H269" s="332"/>
      <c r="I269" s="14"/>
      <c r="J269" s="14"/>
      <c r="K269" s="15"/>
      <c r="L269" s="14"/>
      <c r="M269" s="14"/>
      <c r="N269" s="14"/>
      <c r="O269" s="14"/>
    </row>
    <row r="271" spans="2:32" hidden="1" x14ac:dyDescent="0.25">
      <c r="B271" t="s">
        <v>263</v>
      </c>
      <c r="C271" s="157" t="s">
        <v>173</v>
      </c>
      <c r="D271" s="345" t="s">
        <v>73</v>
      </c>
      <c r="E271" s="365">
        <f ca="1">0.0325*E179*'TEA values'!$C$24*365*E240</f>
        <v>0</v>
      </c>
      <c r="F271" s="14">
        <f ca="1">0.0325*F179*'TEA values'!$C$24*365*F240</f>
        <v>0</v>
      </c>
      <c r="G271" s="14">
        <f ca="1">0.0325*G179*'TEA values'!$C$24*365*G240</f>
        <v>0</v>
      </c>
      <c r="H271" s="14">
        <f ca="1">0.0325*H179*'TEA values'!$C$24*365*H240</f>
        <v>0</v>
      </c>
      <c r="I271" s="14">
        <f ca="1">0.0325*I179*'TEA values'!$C$24*365*I240</f>
        <v>0</v>
      </c>
      <c r="J271" s="14">
        <f ca="1">0.0325*J179*'TEA values'!$C$24*365*J240</f>
        <v>0</v>
      </c>
      <c r="K271" s="15">
        <f ca="1">0.0325*K179*'TEA values'!$C$24*365*K240</f>
        <v>0</v>
      </c>
      <c r="L271" s="14">
        <f ca="1">0.0325*L179*'TEA values'!$C$24*365*L240</f>
        <v>0</v>
      </c>
      <c r="M271" s="14">
        <f ca="1">0.0325*M179*'TEA values'!$C$24*365*M240</f>
        <v>0</v>
      </c>
      <c r="N271" s="14">
        <f ca="1">0.0325*N179*'TEA values'!$C$24*365*N240</f>
        <v>0</v>
      </c>
      <c r="O271" s="14">
        <f ca="1">0.0325*O179*'TEA values'!$C$24*365*O240</f>
        <v>0</v>
      </c>
      <c r="P271" s="14">
        <f ca="1">0.0325*P179*'TEA values'!$C$24*365*P240</f>
        <v>0</v>
      </c>
      <c r="Q271" s="14">
        <f ca="1">0.0325*Q179*'TEA values'!$C$24*365*Q240</f>
        <v>0</v>
      </c>
      <c r="R271" s="14">
        <f ca="1">0.0325*R179*'TEA values'!$C$24*365*R240</f>
        <v>0</v>
      </c>
      <c r="S271" s="14">
        <f ca="1">0.0325*S179*'TEA values'!$C$24*365*S240</f>
        <v>0</v>
      </c>
      <c r="T271" s="14">
        <f ca="1">0.0325*T179*'TEA values'!$C$24*365*T240</f>
        <v>0</v>
      </c>
      <c r="U271" s="14">
        <f ca="1">0.0325*U179*'TEA values'!$C$24*365*U240</f>
        <v>0</v>
      </c>
      <c r="V271" s="14">
        <f ca="1">0.0325*V179*'TEA values'!$C$24*365*V240</f>
        <v>0</v>
      </c>
      <c r="W271" s="14">
        <f ca="1">0.0325*W179*'TEA values'!$C$24*365*W240</f>
        <v>0</v>
      </c>
      <c r="X271" s="14">
        <f ca="1">0.0325*X179*'TEA values'!$C$24*365*X240</f>
        <v>0</v>
      </c>
      <c r="Y271" s="14">
        <f ca="1">0.0325*Y179*'TEA values'!$C$24*365*Y240</f>
        <v>0</v>
      </c>
      <c r="Z271" s="14">
        <f ca="1">0.0325*Z179*'TEA values'!$C$24*365*Z240</f>
        <v>0</v>
      </c>
      <c r="AA271" s="14">
        <f ca="1">0.0325*AA179*'TEA values'!$C$24*365*AA240</f>
        <v>0</v>
      </c>
      <c r="AB271" s="14">
        <f ca="1">0.0325*AB179*'TEA values'!$C$24*365*AB240</f>
        <v>0</v>
      </c>
      <c r="AC271" s="14">
        <f ca="1">0.0325*AC179*'TEA values'!$C$24*365*AC240</f>
        <v>0</v>
      </c>
      <c r="AD271" s="14">
        <f ca="1">0.0325*AD179*'TEA values'!$C$24*365*AD240</f>
        <v>0</v>
      </c>
      <c r="AE271" s="14">
        <f ca="1">0.0325*AE179*'TEA values'!$C$24*365*AE240</f>
        <v>0</v>
      </c>
    </row>
    <row r="272" spans="2:32" ht="18.75" x14ac:dyDescent="0.3">
      <c r="B272" t="s">
        <v>264</v>
      </c>
      <c r="C272" s="328" t="s">
        <v>264</v>
      </c>
      <c r="D272" s="335"/>
      <c r="E272" s="362"/>
      <c r="F272" s="326"/>
      <c r="G272" s="326"/>
      <c r="H272" s="327"/>
      <c r="I272" s="326"/>
      <c r="J272" s="326"/>
      <c r="K272" s="379"/>
      <c r="L272" s="326"/>
      <c r="M272" s="326"/>
      <c r="N272" s="326"/>
      <c r="O272" s="326"/>
      <c r="P272" s="326"/>
      <c r="Q272" s="326"/>
      <c r="R272" s="326"/>
      <c r="S272" s="326"/>
      <c r="T272" s="326"/>
      <c r="U272" s="326"/>
      <c r="V272" s="326"/>
      <c r="W272" s="326"/>
      <c r="X272" s="326"/>
      <c r="Y272" s="326"/>
      <c r="Z272" s="326"/>
      <c r="AA272" s="326"/>
      <c r="AB272" s="326"/>
      <c r="AC272" s="326"/>
      <c r="AD272" s="326"/>
      <c r="AE272" s="326"/>
      <c r="AF272" s="326"/>
    </row>
    <row r="273" spans="2:32" x14ac:dyDescent="0.25">
      <c r="B273" t="s">
        <v>264</v>
      </c>
      <c r="C273" s="157" t="s">
        <v>293</v>
      </c>
      <c r="D273" s="345" t="s">
        <v>73</v>
      </c>
      <c r="E273" s="365">
        <f>Cockpit!E191*Cockpit!E186</f>
        <v>0</v>
      </c>
      <c r="F273" s="14">
        <f>Cockpit!F191*Cockpit!F186</f>
        <v>0</v>
      </c>
      <c r="G273" s="14">
        <f>Cockpit!G191*Cockpit!G186</f>
        <v>0</v>
      </c>
      <c r="H273" s="332">
        <f>Cockpit!H191*Cockpit!H186</f>
        <v>0</v>
      </c>
      <c r="I273" s="14">
        <f>Cockpit!I191*Cockpit!I186</f>
        <v>0</v>
      </c>
      <c r="J273" s="14">
        <f>Cockpit!J191*Cockpit!J186</f>
        <v>22776000</v>
      </c>
      <c r="K273" s="15">
        <f>Cockpit!K191*Cockpit!K186</f>
        <v>4818000</v>
      </c>
      <c r="L273" s="14">
        <f>Cockpit!L191*Cockpit!L186</f>
        <v>15330000</v>
      </c>
      <c r="M273" s="14">
        <f>Cockpit!M191*Cockpit!M186</f>
        <v>36500000</v>
      </c>
      <c r="N273" s="14">
        <f>Cockpit!N191*Cockpit!N186</f>
        <v>42705000</v>
      </c>
      <c r="O273" s="14">
        <f>Cockpit!O191*Cockpit!O186</f>
        <v>47450000</v>
      </c>
      <c r="P273" s="14">
        <f>Cockpit!P191*Cockpit!P186</f>
        <v>74460000</v>
      </c>
      <c r="Q273" s="14">
        <f>Cockpit!Q191*Cockpit!Q186</f>
        <v>68985000</v>
      </c>
      <c r="R273" s="14">
        <f>Cockpit!R191*Cockpit!R186</f>
        <v>82125000</v>
      </c>
      <c r="S273" s="14">
        <f>Cockpit!S191*Cockpit!S186</f>
        <v>95265000</v>
      </c>
      <c r="T273" s="14">
        <f>Cockpit!T191*Cockpit!T186</f>
        <v>108405000</v>
      </c>
      <c r="U273" s="14">
        <f>Cockpit!U191*Cockpit!U186</f>
        <v>121545000</v>
      </c>
      <c r="V273" s="14">
        <f>Cockpit!V191*Cockpit!V186</f>
        <v>134685000</v>
      </c>
      <c r="W273" s="14">
        <f>Cockpit!W191*Cockpit!W186</f>
        <v>147825000</v>
      </c>
      <c r="X273" s="14">
        <f>Cockpit!X191*Cockpit!X186</f>
        <v>160965000</v>
      </c>
      <c r="Y273" s="14">
        <f>Cockpit!Y191*Cockpit!Y186</f>
        <v>174105000</v>
      </c>
      <c r="Z273" s="14">
        <f>Cockpit!Z191*Cockpit!Z186</f>
        <v>187245000</v>
      </c>
      <c r="AA273" s="14">
        <f>Cockpit!AA191*Cockpit!AA186</f>
        <v>200385000</v>
      </c>
      <c r="AB273" s="14">
        <f>Cockpit!AB191*Cockpit!AB186</f>
        <v>213525000</v>
      </c>
      <c r="AC273" s="14">
        <f>Cockpit!AC191*Cockpit!AC186</f>
        <v>226665000</v>
      </c>
      <c r="AD273" s="14">
        <f>Cockpit!AD191*Cockpit!AD186</f>
        <v>239805000</v>
      </c>
      <c r="AE273" s="14">
        <f>Cockpit!AE191*Cockpit!AE186</f>
        <v>252945000</v>
      </c>
    </row>
    <row r="274" spans="2:32" x14ac:dyDescent="0.25">
      <c r="B274" t="s">
        <v>264</v>
      </c>
      <c r="C274" s="157" t="s">
        <v>294</v>
      </c>
      <c r="D274" s="329" t="s">
        <v>73</v>
      </c>
      <c r="E274" s="365">
        <f>IFERROR(Cockpit!#REF!*2000,0)</f>
        <v>0</v>
      </c>
      <c r="F274" s="14">
        <f>IFERROR(Cockpit!B186*2000,0)</f>
        <v>0</v>
      </c>
      <c r="G274" s="14">
        <f>IFERROR(Cockpit!C186*2000,0)</f>
        <v>0</v>
      </c>
      <c r="H274" s="332">
        <f>IFERROR(Cockpit!D186*2000,0)</f>
        <v>0</v>
      </c>
      <c r="I274" s="14">
        <f>IFERROR(Cockpit!E186*2000,0)</f>
        <v>0</v>
      </c>
      <c r="J274" s="14">
        <f>IFERROR(Cockpit!F186*2000,0)</f>
        <v>0</v>
      </c>
      <c r="K274" s="15">
        <f>IFERROR(Cockpit!G186*2000,0)</f>
        <v>0</v>
      </c>
      <c r="L274" s="14">
        <f>IFERROR(Cockpit!H186*2000,0)</f>
        <v>0</v>
      </c>
      <c r="M274" s="14">
        <f>IFERROR(Cockpit!I186*2000,0)</f>
        <v>0</v>
      </c>
      <c r="N274" s="14">
        <f>IFERROR(Cockpit!J186*2000,0)</f>
        <v>24000</v>
      </c>
      <c r="O274" s="14">
        <f>IFERROR(Cockpit!K186*2000,0)</f>
        <v>6000</v>
      </c>
      <c r="P274" s="14">
        <f>IFERROR(Cockpit!L186*2000,0)</f>
        <v>20000</v>
      </c>
      <c r="Q274" s="14">
        <f>IFERROR(Cockpit!M186*2000,0)</f>
        <v>50000</v>
      </c>
      <c r="R274" s="14">
        <f>IFERROR(Cockpit!N186*2000,0)</f>
        <v>90000</v>
      </c>
      <c r="S274" s="14">
        <f>IFERROR(Cockpit!O186*2000,0)</f>
        <v>130000</v>
      </c>
      <c r="T274" s="14">
        <f>IFERROR(Cockpit!P186*2000,0)</f>
        <v>170000</v>
      </c>
      <c r="U274" s="14">
        <f>IFERROR(Cockpit!Q186*2000,0)</f>
        <v>210000</v>
      </c>
      <c r="V274" s="14">
        <f>IFERROR(Cockpit!R186*2000,0)</f>
        <v>250000</v>
      </c>
      <c r="W274" s="14">
        <f>IFERROR(Cockpit!S186*2000,0)</f>
        <v>290000</v>
      </c>
      <c r="X274" s="14">
        <f>IFERROR(Cockpit!T186*2000,0)</f>
        <v>330000</v>
      </c>
      <c r="Y274" s="14">
        <f>IFERROR(Cockpit!U186*2000,0)</f>
        <v>370000</v>
      </c>
      <c r="Z274" s="14">
        <f>IFERROR(Cockpit!V186*2000,0)</f>
        <v>410000</v>
      </c>
      <c r="AA274" s="14">
        <f>IFERROR(Cockpit!W186*2000,0)</f>
        <v>450000</v>
      </c>
      <c r="AB274" s="14">
        <f>IFERROR(Cockpit!X186*2000,0)</f>
        <v>490000</v>
      </c>
      <c r="AC274" s="14">
        <f>IFERROR(Cockpit!Y186*2000,0)</f>
        <v>530000</v>
      </c>
      <c r="AD274" s="14">
        <f>IFERROR(Cockpit!Z186*2000,0)</f>
        <v>570000</v>
      </c>
      <c r="AE274" s="14">
        <f>IFERROR(Cockpit!AA186*2000,0)</f>
        <v>610000</v>
      </c>
      <c r="AF274" t="s">
        <v>175</v>
      </c>
    </row>
    <row r="275" spans="2:32" x14ac:dyDescent="0.25">
      <c r="B275" t="s">
        <v>264</v>
      </c>
      <c r="C275" s="157" t="s">
        <v>173</v>
      </c>
      <c r="D275" s="329" t="s">
        <v>73</v>
      </c>
      <c r="E275" s="372">
        <f>E186*E191*0.0325</f>
        <v>0</v>
      </c>
      <c r="F275" s="346">
        <f t="shared" ref="F275:AE275" si="48">F186*F191*0.0325</f>
        <v>0</v>
      </c>
      <c r="G275" s="346">
        <f t="shared" si="48"/>
        <v>0</v>
      </c>
      <c r="H275" s="346">
        <f t="shared" si="48"/>
        <v>0</v>
      </c>
      <c r="I275" s="346">
        <f t="shared" si="48"/>
        <v>0</v>
      </c>
      <c r="J275" s="346">
        <f t="shared" si="48"/>
        <v>740220</v>
      </c>
      <c r="K275" s="382">
        <f t="shared" si="48"/>
        <v>156585</v>
      </c>
      <c r="L275" s="346">
        <f t="shared" si="48"/>
        <v>498225</v>
      </c>
      <c r="M275" s="346">
        <f t="shared" si="48"/>
        <v>1186250</v>
      </c>
      <c r="N275" s="346">
        <f t="shared" si="48"/>
        <v>1387912.5</v>
      </c>
      <c r="O275" s="346">
        <f t="shared" si="48"/>
        <v>1542125</v>
      </c>
      <c r="P275" s="346">
        <f t="shared" si="48"/>
        <v>2419950</v>
      </c>
      <c r="Q275" s="346">
        <f t="shared" si="48"/>
        <v>2242012.5</v>
      </c>
      <c r="R275" s="346">
        <f t="shared" si="48"/>
        <v>2669062.5</v>
      </c>
      <c r="S275" s="346">
        <f t="shared" si="48"/>
        <v>3096112.5</v>
      </c>
      <c r="T275" s="346">
        <f t="shared" si="48"/>
        <v>3523162.5</v>
      </c>
      <c r="U275" s="346">
        <f t="shared" si="48"/>
        <v>3950212.5</v>
      </c>
      <c r="V275" s="346">
        <f t="shared" si="48"/>
        <v>4377262.5</v>
      </c>
      <c r="W275" s="346">
        <f t="shared" si="48"/>
        <v>4804312.5</v>
      </c>
      <c r="X275" s="346">
        <f t="shared" si="48"/>
        <v>5231362.5</v>
      </c>
      <c r="Y275" s="346">
        <f t="shared" si="48"/>
        <v>5658412.5</v>
      </c>
      <c r="Z275" s="346">
        <f t="shared" si="48"/>
        <v>6085462.5</v>
      </c>
      <c r="AA275" s="346">
        <f t="shared" si="48"/>
        <v>6512512.5</v>
      </c>
      <c r="AB275" s="346">
        <f t="shared" si="48"/>
        <v>6939562.5</v>
      </c>
      <c r="AC275" s="346">
        <f t="shared" si="48"/>
        <v>7366612.5</v>
      </c>
      <c r="AD275" s="346">
        <f t="shared" si="48"/>
        <v>7793662.5</v>
      </c>
      <c r="AE275" s="346">
        <f t="shared" si="48"/>
        <v>8220712.5</v>
      </c>
    </row>
    <row r="276" spans="2:32" ht="18.75" hidden="1" x14ac:dyDescent="0.3">
      <c r="B276" t="s">
        <v>282</v>
      </c>
      <c r="C276" s="328" t="s">
        <v>282</v>
      </c>
      <c r="D276" s="335"/>
      <c r="E276" s="362"/>
      <c r="F276" s="326"/>
      <c r="G276" s="326"/>
      <c r="H276" s="327"/>
      <c r="I276" s="326"/>
      <c r="J276" s="326"/>
      <c r="K276" s="379"/>
      <c r="L276" s="326"/>
      <c r="M276" s="326"/>
      <c r="N276" s="326"/>
      <c r="O276" s="326"/>
      <c r="P276" s="326"/>
      <c r="Q276" s="326"/>
      <c r="R276" s="326"/>
      <c r="S276" s="326"/>
      <c r="T276" s="326"/>
      <c r="U276" s="326"/>
      <c r="V276" s="326"/>
      <c r="W276" s="326"/>
      <c r="X276" s="326"/>
      <c r="Y276" s="326"/>
      <c r="Z276" s="326"/>
      <c r="AA276" s="326"/>
      <c r="AB276" s="326"/>
      <c r="AC276" s="326"/>
      <c r="AD276" s="326"/>
      <c r="AE276" s="326"/>
      <c r="AF276" s="326"/>
    </row>
    <row r="277" spans="2:32" hidden="1" x14ac:dyDescent="0.25">
      <c r="B277" t="s">
        <v>282</v>
      </c>
      <c r="C277" s="157" t="s">
        <v>295</v>
      </c>
      <c r="D277" s="329" t="s">
        <v>73</v>
      </c>
      <c r="E277" s="365">
        <f ca="1">'TEA values'!$C$26*Cockpit!E196*365*E241</f>
        <v>0</v>
      </c>
      <c r="F277" s="14">
        <f ca="1">'TEA values'!$C$26*Cockpit!F196*365*F241</f>
        <v>0</v>
      </c>
      <c r="G277" s="14">
        <f ca="1">'TEA values'!$C$26*Cockpit!G196*365*G241</f>
        <v>0</v>
      </c>
      <c r="H277" s="332">
        <f ca="1">'TEA values'!$C$26*Cockpit!H196*365*H241</f>
        <v>0</v>
      </c>
      <c r="I277" s="14">
        <f ca="1">'TEA values'!$C$26*Cockpit!I196*365*I241</f>
        <v>0</v>
      </c>
      <c r="J277" s="14">
        <f ca="1">'TEA values'!$C$26*Cockpit!J196*365*J241</f>
        <v>0</v>
      </c>
      <c r="K277" s="15">
        <f ca="1">'TEA values'!$C$26*Cockpit!K196*365*K241</f>
        <v>0</v>
      </c>
      <c r="L277" s="14">
        <f ca="1">'TEA values'!$C$26*Cockpit!L196*365*L241</f>
        <v>0</v>
      </c>
      <c r="M277" s="14">
        <f ca="1">'TEA values'!$C$26*Cockpit!M196*365*M241</f>
        <v>0</v>
      </c>
      <c r="N277" s="14">
        <f ca="1">'TEA values'!$C$26*Cockpit!N196*365*N241</f>
        <v>0</v>
      </c>
      <c r="O277" s="14">
        <f ca="1">'TEA values'!$C$26*Cockpit!O196*365*O241</f>
        <v>0</v>
      </c>
      <c r="P277" s="14">
        <f ca="1">'TEA values'!$C$26*Cockpit!P196*365*P241</f>
        <v>0</v>
      </c>
      <c r="Q277" s="14">
        <f ca="1">'TEA values'!$C$26*Cockpit!Q196*365*Q241</f>
        <v>0</v>
      </c>
      <c r="R277" s="14">
        <f ca="1">'TEA values'!$C$26*Cockpit!R196*365*R241</f>
        <v>0</v>
      </c>
      <c r="S277" s="14">
        <f ca="1">'TEA values'!$C$26*Cockpit!S196*365*S241</f>
        <v>0</v>
      </c>
      <c r="T277" s="14">
        <f ca="1">'TEA values'!$C$26*Cockpit!T196*365*T241</f>
        <v>0</v>
      </c>
      <c r="U277" s="14">
        <f ca="1">'TEA values'!$C$26*Cockpit!U196*365*U241</f>
        <v>0</v>
      </c>
      <c r="V277" s="14">
        <f ca="1">'TEA values'!$C$26*Cockpit!V196*365*V241</f>
        <v>0</v>
      </c>
      <c r="W277" s="14">
        <f ca="1">'TEA values'!$C$26*Cockpit!W196*365*W241</f>
        <v>0</v>
      </c>
      <c r="X277" s="14">
        <f ca="1">'TEA values'!$C$26*Cockpit!X196*365*X241</f>
        <v>0</v>
      </c>
      <c r="Y277" s="14">
        <f ca="1">'TEA values'!$C$26*Cockpit!Y196*365*Y241</f>
        <v>0</v>
      </c>
      <c r="Z277" s="14">
        <f ca="1">'TEA values'!$C$26*Cockpit!Z196*365*Z241</f>
        <v>0</v>
      </c>
      <c r="AA277" s="14">
        <f ca="1">'TEA values'!$C$26*Cockpit!AA196*365*AA241</f>
        <v>0</v>
      </c>
      <c r="AB277" s="14">
        <f ca="1">'TEA values'!$C$26*Cockpit!AB196*365*AB241</f>
        <v>0</v>
      </c>
      <c r="AC277" s="14">
        <f ca="1">'TEA values'!$C$26*Cockpit!AC196*365*AC241</f>
        <v>0</v>
      </c>
      <c r="AD277" s="14">
        <f ca="1">'TEA values'!$C$26*Cockpit!AD196*365*AD241</f>
        <v>0</v>
      </c>
      <c r="AE277" s="14">
        <f ca="1">'TEA values'!$C$26*Cockpit!AE196*365*AE241</f>
        <v>0</v>
      </c>
    </row>
    <row r="279" spans="2:32" hidden="1" x14ac:dyDescent="0.25">
      <c r="B279" t="s">
        <v>282</v>
      </c>
      <c r="C279" s="157" t="s">
        <v>173</v>
      </c>
      <c r="D279" s="345" t="s">
        <v>73</v>
      </c>
      <c r="E279" s="365">
        <f ca="1">0.0325*E196*'TEA values'!$C$24*365*E241</f>
        <v>0</v>
      </c>
      <c r="F279" s="14">
        <f ca="1">0.0325*F196*'TEA values'!$C$24*365*F241</f>
        <v>0</v>
      </c>
      <c r="G279" s="14">
        <f ca="1">0.0325*G196*'TEA values'!$C$24*365*G241</f>
        <v>0</v>
      </c>
      <c r="H279" s="14">
        <f ca="1">0.0325*H196*'TEA values'!$C$24*365*H241</f>
        <v>0</v>
      </c>
      <c r="I279" s="14">
        <f ca="1">0.0325*I196*'TEA values'!$C$24*365*I241</f>
        <v>0</v>
      </c>
      <c r="J279" s="14">
        <f ca="1">0.0325*J196*'TEA values'!$C$24*365*J241</f>
        <v>0</v>
      </c>
      <c r="K279" s="15">
        <f ca="1">0.0325*K196*'TEA values'!$C$24*365*K241</f>
        <v>0</v>
      </c>
      <c r="L279" s="14">
        <f ca="1">0.0325*L196*'TEA values'!$C$24*365*L241</f>
        <v>0</v>
      </c>
      <c r="M279" s="14">
        <f ca="1">0.0325*M196*'TEA values'!$C$24*365*M241</f>
        <v>0</v>
      </c>
      <c r="N279" s="14">
        <f ca="1">0.0325*N196*'TEA values'!$C$24*365*N241</f>
        <v>0</v>
      </c>
      <c r="O279" s="14">
        <f ca="1">0.0325*O196*'TEA values'!$C$24*365*O241</f>
        <v>0</v>
      </c>
      <c r="P279" s="14">
        <f ca="1">0.0325*P196*'TEA values'!$C$24*365*P241</f>
        <v>0</v>
      </c>
      <c r="Q279" s="14">
        <f ca="1">0.0325*Q196*'TEA values'!$C$24*365*Q241</f>
        <v>0</v>
      </c>
      <c r="R279" s="14">
        <f ca="1">0.0325*R196*'TEA values'!$C$24*365*R241</f>
        <v>0</v>
      </c>
      <c r="S279" s="14">
        <f ca="1">0.0325*S196*'TEA values'!$C$24*365*S241</f>
        <v>0</v>
      </c>
      <c r="T279" s="14">
        <f ca="1">0.0325*T196*'TEA values'!$C$24*365*T241</f>
        <v>0</v>
      </c>
      <c r="U279" s="14">
        <f ca="1">0.0325*U196*'TEA values'!$C$24*365*U241</f>
        <v>0</v>
      </c>
      <c r="V279" s="14">
        <f ca="1">0.0325*V196*'TEA values'!$C$24*365*V241</f>
        <v>0</v>
      </c>
      <c r="W279" s="14">
        <f ca="1">0.0325*W196*'TEA values'!$C$24*365*W241</f>
        <v>0</v>
      </c>
      <c r="X279" s="14">
        <f ca="1">0.0325*X196*'TEA values'!$C$24*365*X241</f>
        <v>0</v>
      </c>
      <c r="Y279" s="14">
        <f ca="1">0.0325*Y196*'TEA values'!$C$24*365*Y241</f>
        <v>0</v>
      </c>
      <c r="Z279" s="14">
        <f ca="1">0.0325*Z196*'TEA values'!$C$24*365*Z241</f>
        <v>0</v>
      </c>
      <c r="AA279" s="14">
        <f ca="1">0.0325*AA196*'TEA values'!$C$24*365*AA241</f>
        <v>0</v>
      </c>
      <c r="AB279" s="14">
        <f ca="1">0.0325*AB196*'TEA values'!$C$24*365*AB241</f>
        <v>0</v>
      </c>
      <c r="AC279" s="14">
        <f ca="1">0.0325*AC196*'TEA values'!$C$24*365*AC241</f>
        <v>0</v>
      </c>
      <c r="AD279" s="14">
        <f ca="1">0.0325*AD196*'TEA values'!$C$24*365*AD241</f>
        <v>0</v>
      </c>
      <c r="AE279" s="14">
        <f ca="1">0.0325*AE196*'TEA values'!$C$24*365*AE241</f>
        <v>0</v>
      </c>
    </row>
    <row r="280" spans="2:32" ht="18.75" hidden="1" x14ac:dyDescent="0.3">
      <c r="B280" t="s">
        <v>283</v>
      </c>
      <c r="C280" s="328" t="s">
        <v>283</v>
      </c>
      <c r="D280" s="335"/>
      <c r="E280" s="362"/>
      <c r="F280" s="326"/>
      <c r="G280" s="326"/>
      <c r="H280" s="327"/>
      <c r="I280" s="326"/>
      <c r="J280" s="326"/>
      <c r="K280" s="379"/>
      <c r="L280" s="326"/>
      <c r="M280" s="326"/>
      <c r="N280" s="326"/>
      <c r="O280" s="326"/>
      <c r="P280" s="326"/>
      <c r="Q280" s="326"/>
      <c r="R280" s="326"/>
      <c r="S280" s="326"/>
      <c r="T280" s="326"/>
      <c r="U280" s="326"/>
      <c r="V280" s="326"/>
      <c r="W280" s="326"/>
      <c r="X280" s="326"/>
      <c r="Y280" s="326"/>
      <c r="Z280" s="326"/>
      <c r="AA280" s="326"/>
      <c r="AB280" s="326"/>
      <c r="AC280" s="326"/>
      <c r="AD280" s="326"/>
      <c r="AE280" s="326"/>
      <c r="AF280" s="326"/>
    </row>
    <row r="281" spans="2:32" hidden="1" x14ac:dyDescent="0.25">
      <c r="B281" t="s">
        <v>283</v>
      </c>
      <c r="C281" s="157" t="s">
        <v>295</v>
      </c>
      <c r="D281" s="329" t="s">
        <v>73</v>
      </c>
      <c r="E281" s="371">
        <f ca="1">'TEA values'!$C$26*Cockpit!E205*365*E242</f>
        <v>0</v>
      </c>
      <c r="F281" s="12">
        <f ca="1">'TEA values'!$C$26*Cockpit!F205*365*F242</f>
        <v>0</v>
      </c>
      <c r="G281" s="12">
        <f ca="1">'TEA values'!$C$26*Cockpit!G205*365*G242</f>
        <v>0</v>
      </c>
      <c r="H281" s="12">
        <f ca="1">'TEA values'!$C$26*Cockpit!H205*365*H242</f>
        <v>0</v>
      </c>
      <c r="I281" s="12">
        <f ca="1">'TEA values'!$C$26*Cockpit!I205*365*I242</f>
        <v>0</v>
      </c>
      <c r="J281" s="12">
        <f ca="1">'TEA values'!$C$26*Cockpit!J205*365*J242</f>
        <v>0</v>
      </c>
      <c r="K281" s="13">
        <f ca="1">'TEA values'!$C$26*Cockpit!K205*365*K242</f>
        <v>0</v>
      </c>
      <c r="L281" s="12">
        <f ca="1">'TEA values'!$C$26*Cockpit!L205*365*L242</f>
        <v>0</v>
      </c>
      <c r="M281" s="12">
        <f ca="1">'TEA values'!$C$26*Cockpit!M205*365*M242</f>
        <v>0</v>
      </c>
      <c r="N281" s="12">
        <f ca="1">'TEA values'!$C$26*Cockpit!N205*365*N242</f>
        <v>0</v>
      </c>
      <c r="O281" s="12">
        <f ca="1">'TEA values'!$C$26*Cockpit!O205*365*O242</f>
        <v>0</v>
      </c>
      <c r="P281" s="12">
        <f ca="1">'TEA values'!$C$26*Cockpit!P205*365*P242</f>
        <v>0</v>
      </c>
      <c r="Q281" s="12">
        <f ca="1">'TEA values'!$C$26*Cockpit!Q205*365*Q242</f>
        <v>0</v>
      </c>
      <c r="R281" s="12">
        <f ca="1">'TEA values'!$C$26*Cockpit!R205*365*R242</f>
        <v>0</v>
      </c>
      <c r="S281" s="12">
        <f ca="1">'TEA values'!$C$26*Cockpit!S205*365*S242</f>
        <v>0</v>
      </c>
      <c r="T281" s="12">
        <f ca="1">'TEA values'!$C$26*Cockpit!T205*365*T242</f>
        <v>0</v>
      </c>
      <c r="U281" s="12">
        <f ca="1">'TEA values'!$C$26*Cockpit!U205*365*U242</f>
        <v>0</v>
      </c>
      <c r="V281" s="12">
        <f ca="1">'TEA values'!$C$26*Cockpit!V205*365*V242</f>
        <v>0</v>
      </c>
      <c r="W281" s="12">
        <f ca="1">'TEA values'!$C$26*Cockpit!W205*365*W242</f>
        <v>0</v>
      </c>
      <c r="X281" s="12">
        <f ca="1">'TEA values'!$C$26*Cockpit!X205*365*X242</f>
        <v>0</v>
      </c>
      <c r="Y281" s="12">
        <f ca="1">'TEA values'!$C$26*Cockpit!Y205*365*Y242</f>
        <v>0</v>
      </c>
      <c r="Z281" s="12">
        <f ca="1">'TEA values'!$C$26*Cockpit!Z205*365*Z242</f>
        <v>0</v>
      </c>
      <c r="AA281" s="12">
        <f ca="1">'TEA values'!$C$26*Cockpit!AA205*365*AA242</f>
        <v>0</v>
      </c>
      <c r="AB281" s="12">
        <f ca="1">'TEA values'!$C$26*Cockpit!AB205*365*AB242</f>
        <v>0</v>
      </c>
      <c r="AC281" s="12">
        <f ca="1">'TEA values'!$C$26*Cockpit!AC205*365*AC242</f>
        <v>0</v>
      </c>
      <c r="AD281" s="12">
        <f ca="1">'TEA values'!$C$26*Cockpit!AD205*365*AD242</f>
        <v>0</v>
      </c>
      <c r="AE281" s="12">
        <f ca="1">'TEA values'!$C$26*Cockpit!AE205*365*AE242</f>
        <v>0</v>
      </c>
    </row>
    <row r="283" spans="2:32" hidden="1" x14ac:dyDescent="0.25">
      <c r="B283" t="s">
        <v>283</v>
      </c>
      <c r="C283" s="157" t="s">
        <v>173</v>
      </c>
      <c r="D283" s="345" t="s">
        <v>73</v>
      </c>
      <c r="E283" s="365">
        <f ca="1">0.0325*E205*'TEA values'!$C$24*365*E242</f>
        <v>0</v>
      </c>
      <c r="F283" s="14">
        <f ca="1">0.0325*F205*'TEA values'!$C$24*365*F242</f>
        <v>0</v>
      </c>
      <c r="G283" s="14">
        <f ca="1">0.0325*G205*'TEA values'!$C$24*365*G242</f>
        <v>0</v>
      </c>
      <c r="H283" s="14">
        <f ca="1">0.0325*H205*'TEA values'!$C$24*365*H242</f>
        <v>0</v>
      </c>
      <c r="I283" s="14">
        <f ca="1">0.0325*I205*'TEA values'!$C$24*365*I242</f>
        <v>0</v>
      </c>
      <c r="J283" s="14">
        <f ca="1">0.0325*J205*'TEA values'!$C$24*365*J242</f>
        <v>0</v>
      </c>
      <c r="K283" s="15">
        <f ca="1">0.0325*K205*'TEA values'!$C$24*365*K242</f>
        <v>0</v>
      </c>
      <c r="L283" s="14">
        <f ca="1">0.0325*L205*'TEA values'!$C$24*365*L242</f>
        <v>0</v>
      </c>
      <c r="M283" s="14">
        <f ca="1">0.0325*M205*'TEA values'!$C$24*365*M242</f>
        <v>0</v>
      </c>
      <c r="N283" s="14">
        <f ca="1">0.0325*N205*'TEA values'!$C$24*365*N242</f>
        <v>0</v>
      </c>
      <c r="O283" s="14">
        <f ca="1">0.0325*O205*'TEA values'!$C$24*365*O242</f>
        <v>0</v>
      </c>
      <c r="P283" s="14">
        <f ca="1">0.0325*P205*'TEA values'!$C$24*365*P242</f>
        <v>0</v>
      </c>
      <c r="Q283" s="14">
        <f ca="1">0.0325*Q205*'TEA values'!$C$24*365*Q242</f>
        <v>0</v>
      </c>
      <c r="R283" s="14">
        <f ca="1">0.0325*R205*'TEA values'!$C$24*365*R242</f>
        <v>0</v>
      </c>
      <c r="S283" s="14">
        <f ca="1">0.0325*S205*'TEA values'!$C$24*365*S242</f>
        <v>0</v>
      </c>
      <c r="T283" s="14">
        <f ca="1">0.0325*T205*'TEA values'!$C$24*365*T242</f>
        <v>0</v>
      </c>
      <c r="U283" s="14">
        <f ca="1">0.0325*U205*'TEA values'!$C$24*365*U242</f>
        <v>0</v>
      </c>
      <c r="V283" s="14">
        <f ca="1">0.0325*V205*'TEA values'!$C$24*365*V242</f>
        <v>0</v>
      </c>
      <c r="W283" s="14">
        <f ca="1">0.0325*W205*'TEA values'!$C$24*365*W242</f>
        <v>0</v>
      </c>
      <c r="X283" s="14">
        <f ca="1">0.0325*X205*'TEA values'!$C$24*365*X242</f>
        <v>0</v>
      </c>
      <c r="Y283" s="14">
        <f ca="1">0.0325*Y205*'TEA values'!$C$24*365*Y242</f>
        <v>0</v>
      </c>
      <c r="Z283" s="14">
        <f ca="1">0.0325*Z205*'TEA values'!$C$24*365*Z242</f>
        <v>0</v>
      </c>
      <c r="AA283" s="14">
        <f ca="1">0.0325*AA205*'TEA values'!$C$24*365*AA242</f>
        <v>0</v>
      </c>
      <c r="AB283" s="14">
        <f ca="1">0.0325*AB205*'TEA values'!$C$24*365*AB242</f>
        <v>0</v>
      </c>
      <c r="AC283" s="14">
        <f ca="1">0.0325*AC205*'TEA values'!$C$24*365*AC242</f>
        <v>0</v>
      </c>
      <c r="AD283" s="14">
        <f ca="1">0.0325*AD205*'TEA values'!$C$24*365*AD242</f>
        <v>0</v>
      </c>
      <c r="AE283" s="14">
        <f ca="1">0.0325*AE205*'TEA values'!$C$24*365*AE242</f>
        <v>0</v>
      </c>
    </row>
    <row r="284" spans="2:32" ht="18.75" hidden="1" x14ac:dyDescent="0.3">
      <c r="B284" t="s">
        <v>265</v>
      </c>
      <c r="C284" s="328" t="s">
        <v>265</v>
      </c>
      <c r="D284" s="335"/>
      <c r="E284" s="362"/>
      <c r="F284" s="326"/>
      <c r="G284" s="326"/>
      <c r="H284" s="327"/>
      <c r="I284" s="326"/>
      <c r="J284" s="326"/>
      <c r="K284" s="379"/>
      <c r="L284" s="326"/>
      <c r="M284" s="326"/>
      <c r="N284" s="326"/>
      <c r="O284" s="326"/>
      <c r="P284" s="326"/>
      <c r="Q284" s="326"/>
      <c r="R284" s="326"/>
      <c r="S284" s="326"/>
      <c r="T284" s="326"/>
      <c r="U284" s="326"/>
      <c r="V284" s="326"/>
      <c r="W284" s="326"/>
      <c r="X284" s="326"/>
      <c r="Y284" s="326"/>
      <c r="Z284" s="326"/>
      <c r="AA284" s="326"/>
      <c r="AB284" s="326"/>
      <c r="AC284" s="326"/>
      <c r="AD284" s="326"/>
      <c r="AE284" s="326"/>
      <c r="AF284" s="326"/>
    </row>
    <row r="285" spans="2:32" hidden="1" x14ac:dyDescent="0.25">
      <c r="B285" t="s">
        <v>265</v>
      </c>
      <c r="C285" s="157" t="s">
        <v>298</v>
      </c>
      <c r="D285" s="329" t="s">
        <v>73</v>
      </c>
      <c r="E285" s="371">
        <f>IFERROR(E211*E216*(E212/(E215*E217*E214*E213+E212)),0)</f>
        <v>0</v>
      </c>
      <c r="F285" s="12">
        <f t="shared" ref="F285:AE285" si="49">IFERROR(F211*F216*(F212/(F215*F217*F214*F213+F212)),0)</f>
        <v>0</v>
      </c>
      <c r="G285" s="12">
        <f t="shared" si="49"/>
        <v>0</v>
      </c>
      <c r="H285" s="12">
        <f t="shared" si="49"/>
        <v>0</v>
      </c>
      <c r="I285" s="12">
        <f t="shared" si="49"/>
        <v>0</v>
      </c>
      <c r="J285" s="12">
        <f t="shared" si="49"/>
        <v>0</v>
      </c>
      <c r="K285" s="13">
        <f t="shared" si="49"/>
        <v>0</v>
      </c>
      <c r="L285" s="12">
        <f t="shared" si="49"/>
        <v>0</v>
      </c>
      <c r="M285" s="12">
        <f t="shared" si="49"/>
        <v>0</v>
      </c>
      <c r="N285" s="12">
        <f t="shared" si="49"/>
        <v>0</v>
      </c>
      <c r="O285" s="12">
        <f t="shared" si="49"/>
        <v>0</v>
      </c>
      <c r="P285" s="12">
        <f t="shared" si="49"/>
        <v>0</v>
      </c>
      <c r="Q285" s="12">
        <f t="shared" si="49"/>
        <v>0</v>
      </c>
      <c r="R285" s="12">
        <f t="shared" si="49"/>
        <v>0</v>
      </c>
      <c r="S285" s="12">
        <f t="shared" si="49"/>
        <v>0</v>
      </c>
      <c r="T285" s="12">
        <f t="shared" si="49"/>
        <v>0</v>
      </c>
      <c r="U285" s="12">
        <f t="shared" si="49"/>
        <v>0</v>
      </c>
      <c r="V285" s="12">
        <f t="shared" si="49"/>
        <v>0</v>
      </c>
      <c r="W285" s="12">
        <f t="shared" si="49"/>
        <v>0</v>
      </c>
      <c r="X285" s="12">
        <f t="shared" si="49"/>
        <v>0</v>
      </c>
      <c r="Y285" s="12">
        <f t="shared" si="49"/>
        <v>0</v>
      </c>
      <c r="Z285" s="12">
        <f t="shared" si="49"/>
        <v>0</v>
      </c>
      <c r="AA285" s="12">
        <f t="shared" si="49"/>
        <v>0</v>
      </c>
      <c r="AB285" s="12">
        <f t="shared" si="49"/>
        <v>0</v>
      </c>
      <c r="AC285" s="12">
        <f t="shared" si="49"/>
        <v>0</v>
      </c>
      <c r="AD285" s="12">
        <f t="shared" si="49"/>
        <v>0</v>
      </c>
      <c r="AE285" s="12">
        <f t="shared" si="49"/>
        <v>0</v>
      </c>
    </row>
    <row r="287" spans="2:32" hidden="1" x14ac:dyDescent="0.25">
      <c r="B287" t="s">
        <v>265</v>
      </c>
      <c r="C287" s="157" t="s">
        <v>294</v>
      </c>
      <c r="D287" s="329" t="s">
        <v>73</v>
      </c>
      <c r="E287" s="365">
        <f>IFERROR(Cockpit!#REF!*2000,0)</f>
        <v>0</v>
      </c>
      <c r="F287" s="14">
        <f>IFERROR(Cockpit!B211*2000,0)</f>
        <v>0</v>
      </c>
      <c r="G287" s="14">
        <f>IFERROR(Cockpit!C211*2000,0)</f>
        <v>0</v>
      </c>
      <c r="H287" s="332">
        <f>IFERROR(Cockpit!D211*2000,0)</f>
        <v>0</v>
      </c>
      <c r="I287" s="14">
        <f>IFERROR(Cockpit!E211*2000,0)</f>
        <v>0</v>
      </c>
      <c r="J287" s="14">
        <f>IFERROR(Cockpit!F211*2000,0)</f>
        <v>0</v>
      </c>
      <c r="K287" s="15">
        <f>IFERROR(Cockpit!G211*2000,0)</f>
        <v>0</v>
      </c>
      <c r="L287" s="14">
        <f>IFERROR(Cockpit!H211*2000,0)</f>
        <v>0</v>
      </c>
      <c r="M287" s="14">
        <f>IFERROR(Cockpit!I211*2000,0)</f>
        <v>0</v>
      </c>
      <c r="N287" s="14">
        <f>IFERROR(Cockpit!J211*2000,0)</f>
        <v>0</v>
      </c>
      <c r="O287" s="14">
        <f>IFERROR(Cockpit!K211*2000,0)</f>
        <v>0</v>
      </c>
    </row>
    <row r="288" spans="2:32" hidden="1" x14ac:dyDescent="0.25">
      <c r="B288" t="s">
        <v>265</v>
      </c>
      <c r="C288" s="157" t="s">
        <v>173</v>
      </c>
      <c r="D288" s="345" t="s">
        <v>73</v>
      </c>
      <c r="E288" s="365">
        <f ca="1">0.0325*E214*'TEA values'!$C$24*365*E243</f>
        <v>0</v>
      </c>
      <c r="F288" s="14">
        <f ca="1">0.0325*F214*'TEA values'!$C$24*365*F243</f>
        <v>0</v>
      </c>
      <c r="G288" s="14">
        <f ca="1">0.0325*G214*'TEA values'!$C$24*365*G243</f>
        <v>0</v>
      </c>
      <c r="H288" s="14">
        <f ca="1">0.0325*H214*'TEA values'!$C$24*365*H243</f>
        <v>0</v>
      </c>
      <c r="I288" s="14">
        <f ca="1">0.0325*I214*'TEA values'!$C$24*365*I243</f>
        <v>0</v>
      </c>
      <c r="J288" s="14">
        <f ca="1">0.0325*J214*'TEA values'!$C$24*365*J243</f>
        <v>0</v>
      </c>
      <c r="K288" s="15">
        <f ca="1">0.0325*K214*'TEA values'!$C$24*365*K243</f>
        <v>0</v>
      </c>
      <c r="L288" s="14">
        <f ca="1">0.0325*L214*'TEA values'!$C$24*365*L243</f>
        <v>0</v>
      </c>
      <c r="M288" s="14">
        <f ca="1">0.0325*M214*'TEA values'!$C$24*365*M243</f>
        <v>0</v>
      </c>
      <c r="N288" s="14">
        <f ca="1">0.0325*N214*'TEA values'!$C$24*365*N243</f>
        <v>0</v>
      </c>
      <c r="O288" s="14">
        <f ca="1">0.0325*O214*'TEA values'!$C$24*365*O243</f>
        <v>0</v>
      </c>
      <c r="P288" s="14">
        <f ca="1">0.0325*P214*'TEA values'!$C$24*365*P243</f>
        <v>0</v>
      </c>
      <c r="Q288" s="14">
        <f ca="1">0.0325*Q214*'TEA values'!$C$24*365*Q243</f>
        <v>0</v>
      </c>
      <c r="R288" s="14">
        <f ca="1">0.0325*R214*'TEA values'!$C$24*365*R243</f>
        <v>0</v>
      </c>
      <c r="S288" s="14">
        <f ca="1">0.0325*S214*'TEA values'!$C$24*365*S243</f>
        <v>0</v>
      </c>
      <c r="T288" s="14">
        <f ca="1">0.0325*T214*'TEA values'!$C$24*365*T243</f>
        <v>0</v>
      </c>
      <c r="U288" s="14">
        <f ca="1">0.0325*U214*'TEA values'!$C$24*365*U243</f>
        <v>0</v>
      </c>
      <c r="V288" s="14">
        <f ca="1">0.0325*V214*'TEA values'!$C$24*365*V243</f>
        <v>0</v>
      </c>
      <c r="W288" s="14">
        <f ca="1">0.0325*W214*'TEA values'!$C$24*365*W243</f>
        <v>0</v>
      </c>
      <c r="X288" s="14">
        <f ca="1">0.0325*X214*'TEA values'!$C$24*365*X243</f>
        <v>0</v>
      </c>
      <c r="Y288" s="14">
        <f ca="1">0.0325*Y214*'TEA values'!$C$24*365*Y243</f>
        <v>0</v>
      </c>
      <c r="Z288" s="14">
        <f ca="1">0.0325*Z214*'TEA values'!$C$24*365*Z243</f>
        <v>0</v>
      </c>
      <c r="AA288" s="14">
        <f ca="1">0.0325*AA214*'TEA values'!$C$24*365*AA243</f>
        <v>0</v>
      </c>
      <c r="AB288" s="14">
        <f ca="1">0.0325*AB214*'TEA values'!$C$24*365*AB243</f>
        <v>0</v>
      </c>
      <c r="AC288" s="14">
        <f ca="1">0.0325*AC214*'TEA values'!$C$24*365*AC243</f>
        <v>0</v>
      </c>
      <c r="AD288" s="14">
        <f ca="1">0.0325*AD214*'TEA values'!$C$24*365*AD243</f>
        <v>0</v>
      </c>
      <c r="AE288" s="14">
        <f ca="1">0.0325*AE214*'TEA values'!$C$24*365*AE243</f>
        <v>0</v>
      </c>
    </row>
    <row r="289" spans="2:32" ht="18.75" hidden="1" x14ac:dyDescent="0.3">
      <c r="B289" t="s">
        <v>278</v>
      </c>
      <c r="C289" s="328" t="s">
        <v>278</v>
      </c>
      <c r="D289" s="335"/>
      <c r="E289" s="362"/>
      <c r="F289" s="326"/>
      <c r="G289" s="326"/>
      <c r="H289" s="327"/>
      <c r="I289" s="326"/>
      <c r="J289" s="326"/>
      <c r="K289" s="379"/>
      <c r="L289" s="326"/>
      <c r="M289" s="326"/>
      <c r="N289" s="326"/>
      <c r="O289" s="326"/>
      <c r="P289" s="326"/>
      <c r="Q289" s="326"/>
      <c r="R289" s="326"/>
      <c r="S289" s="326"/>
      <c r="T289" s="326"/>
      <c r="U289" s="326"/>
      <c r="V289" s="326"/>
      <c r="W289" s="326"/>
      <c r="X289" s="326"/>
      <c r="Y289" s="326"/>
      <c r="Z289" s="326"/>
      <c r="AA289" s="326"/>
      <c r="AB289" s="326"/>
      <c r="AC289" s="326"/>
      <c r="AD289" s="326"/>
      <c r="AE289" s="326"/>
      <c r="AF289" s="326"/>
    </row>
    <row r="290" spans="2:32" hidden="1" x14ac:dyDescent="0.25">
      <c r="B290" t="s">
        <v>278</v>
      </c>
      <c r="C290" s="157" t="s">
        <v>298</v>
      </c>
      <c r="D290" s="329" t="s">
        <v>73</v>
      </c>
      <c r="E290" s="371">
        <f>IFERROR(E221*E225*(E222/(E223*E226+E222)),0)</f>
        <v>0</v>
      </c>
      <c r="F290" s="12">
        <f t="shared" ref="F290:AE290" si="50">IFERROR(F221*F225*(F222/(F223*F226+F222)),0)</f>
        <v>0</v>
      </c>
      <c r="G290" s="12">
        <f t="shared" si="50"/>
        <v>0</v>
      </c>
      <c r="H290" s="12">
        <f t="shared" si="50"/>
        <v>0</v>
      </c>
      <c r="I290" s="12">
        <f t="shared" si="50"/>
        <v>0</v>
      </c>
      <c r="J290" s="12">
        <f t="shared" si="50"/>
        <v>0</v>
      </c>
      <c r="K290" s="13">
        <f t="shared" si="50"/>
        <v>0</v>
      </c>
      <c r="L290" s="12">
        <f t="shared" si="50"/>
        <v>0</v>
      </c>
      <c r="M290" s="12">
        <f t="shared" si="50"/>
        <v>0</v>
      </c>
      <c r="N290" s="12">
        <f t="shared" si="50"/>
        <v>0</v>
      </c>
      <c r="O290" s="12">
        <f t="shared" si="50"/>
        <v>0</v>
      </c>
      <c r="P290" s="12">
        <f t="shared" si="50"/>
        <v>0</v>
      </c>
      <c r="Q290" s="12">
        <f t="shared" si="50"/>
        <v>0</v>
      </c>
      <c r="R290" s="12">
        <f t="shared" si="50"/>
        <v>0</v>
      </c>
      <c r="S290" s="12">
        <f t="shared" si="50"/>
        <v>0</v>
      </c>
      <c r="T290" s="12">
        <f t="shared" si="50"/>
        <v>0</v>
      </c>
      <c r="U290" s="12">
        <f t="shared" si="50"/>
        <v>0</v>
      </c>
      <c r="V290" s="12">
        <f t="shared" si="50"/>
        <v>0</v>
      </c>
      <c r="W290" s="12">
        <f t="shared" si="50"/>
        <v>0</v>
      </c>
      <c r="X290" s="12">
        <f t="shared" si="50"/>
        <v>0</v>
      </c>
      <c r="Y290" s="12">
        <f t="shared" si="50"/>
        <v>0</v>
      </c>
      <c r="Z290" s="12">
        <f t="shared" si="50"/>
        <v>0</v>
      </c>
      <c r="AA290" s="12">
        <f t="shared" si="50"/>
        <v>0</v>
      </c>
      <c r="AB290" s="12">
        <f t="shared" si="50"/>
        <v>0</v>
      </c>
      <c r="AC290" s="12">
        <f t="shared" si="50"/>
        <v>0</v>
      </c>
      <c r="AD290" s="12">
        <f t="shared" si="50"/>
        <v>0</v>
      </c>
      <c r="AE290" s="12">
        <f t="shared" si="50"/>
        <v>0</v>
      </c>
    </row>
    <row r="291" spans="2:32" hidden="1" x14ac:dyDescent="0.25">
      <c r="B291" t="s">
        <v>278</v>
      </c>
      <c r="C291" s="157" t="s">
        <v>294</v>
      </c>
      <c r="D291" s="329" t="s">
        <v>73</v>
      </c>
      <c r="E291" s="365">
        <f>IFERROR(Cockpit!#REF!*2000,0)</f>
        <v>0</v>
      </c>
      <c r="F291" s="14">
        <f>IFERROR(Cockpit!B221*2000,0)</f>
        <v>0</v>
      </c>
      <c r="G291" s="14">
        <f>IFERROR(Cockpit!C221*2000,0)</f>
        <v>0</v>
      </c>
      <c r="H291" s="332">
        <f>IFERROR(Cockpit!D221*2000,0)</f>
        <v>0</v>
      </c>
      <c r="I291" s="14">
        <f>IFERROR(Cockpit!E221*2000,0)</f>
        <v>0</v>
      </c>
      <c r="J291" s="14">
        <f>IFERROR(Cockpit!F221*2000,0)</f>
        <v>0</v>
      </c>
      <c r="K291" s="15">
        <f>IFERROR(Cockpit!G221*2000,0)</f>
        <v>0</v>
      </c>
      <c r="L291" s="14">
        <f>IFERROR(Cockpit!H221*2000,0)</f>
        <v>0</v>
      </c>
      <c r="M291" s="14">
        <f>IFERROR(Cockpit!I221*2000,0)</f>
        <v>0</v>
      </c>
      <c r="N291" s="14">
        <f>IFERROR(Cockpit!J221*2000,0)</f>
        <v>0</v>
      </c>
      <c r="O291" s="14">
        <f>IFERROR(Cockpit!K221*2000,0)</f>
        <v>0</v>
      </c>
    </row>
    <row r="293" spans="2:32" hidden="1" x14ac:dyDescent="0.25">
      <c r="B293" t="s">
        <v>278</v>
      </c>
      <c r="C293" s="157" t="s">
        <v>173</v>
      </c>
      <c r="D293" s="329"/>
      <c r="E293" s="365">
        <f ca="1">0.0325*E224*'TEA values'!$C$24*365*E244</f>
        <v>0</v>
      </c>
      <c r="F293" s="14">
        <f ca="1">0.0325*F224*'TEA values'!$C$24*365*F244</f>
        <v>0</v>
      </c>
      <c r="G293" s="14">
        <f ca="1">0.0325*G224*'TEA values'!$C$24*365*G244</f>
        <v>0</v>
      </c>
      <c r="H293" s="14">
        <f ca="1">0.0325*H224*'TEA values'!$C$24*365*H244</f>
        <v>0</v>
      </c>
      <c r="I293" s="14">
        <f ca="1">0.0325*I224*'TEA values'!$C$24*365*I244</f>
        <v>0</v>
      </c>
      <c r="J293" s="14">
        <f ca="1">0.0325*J224*'TEA values'!$C$24*365*J244</f>
        <v>0</v>
      </c>
      <c r="K293" s="15">
        <f ca="1">0.0325*K224*'TEA values'!$C$24*365*K244</f>
        <v>0</v>
      </c>
      <c r="L293" s="14">
        <f ca="1">0.0325*L224*'TEA values'!$C$24*365*L244</f>
        <v>0</v>
      </c>
      <c r="M293" s="14">
        <f ca="1">0.0325*M224*'TEA values'!$C$24*365*M244</f>
        <v>0</v>
      </c>
      <c r="N293" s="14">
        <f ca="1">0.0325*N224*'TEA values'!$C$24*365*N244</f>
        <v>0</v>
      </c>
      <c r="O293" s="14">
        <f ca="1">0.0325*O224*'TEA values'!$C$24*365*O244</f>
        <v>0</v>
      </c>
      <c r="P293" s="14">
        <f ca="1">0.0325*P224*'TEA values'!$C$24*365*P244</f>
        <v>0</v>
      </c>
      <c r="Q293" s="14">
        <f ca="1">0.0325*Q224*'TEA values'!$C$24*365*Q244</f>
        <v>0</v>
      </c>
      <c r="R293" s="14">
        <f ca="1">0.0325*R224*'TEA values'!$C$24*365*R244</f>
        <v>0</v>
      </c>
      <c r="S293" s="14">
        <f ca="1">0.0325*S224*'TEA values'!$C$24*365*S244</f>
        <v>0</v>
      </c>
      <c r="T293" s="14">
        <f ca="1">0.0325*T224*'TEA values'!$C$24*365*T244</f>
        <v>0</v>
      </c>
      <c r="U293" s="14">
        <f ca="1">0.0325*U224*'TEA values'!$C$24*365*U244</f>
        <v>0</v>
      </c>
      <c r="V293" s="14">
        <f ca="1">0.0325*V224*'TEA values'!$C$24*365*V244</f>
        <v>0</v>
      </c>
      <c r="W293" s="14">
        <f ca="1">0.0325*W224*'TEA values'!$C$24*365*W244</f>
        <v>0</v>
      </c>
      <c r="X293" s="14">
        <f ca="1">0.0325*X224*'TEA values'!$C$24*365*X244</f>
        <v>0</v>
      </c>
      <c r="Y293" s="14">
        <f ca="1">0.0325*Y224*'TEA values'!$C$24*365*Y244</f>
        <v>0</v>
      </c>
      <c r="Z293" s="14">
        <f ca="1">0.0325*Z224*'TEA values'!$C$24*365*Z244</f>
        <v>0</v>
      </c>
      <c r="AA293" s="14">
        <f ca="1">0.0325*AA224*'TEA values'!$C$24*365*AA244</f>
        <v>0</v>
      </c>
      <c r="AB293" s="14">
        <f ca="1">0.0325*AB224*'TEA values'!$C$24*365*AB244</f>
        <v>0</v>
      </c>
      <c r="AC293" s="14">
        <f ca="1">0.0325*AC224*'TEA values'!$C$24*365*AC244</f>
        <v>0</v>
      </c>
      <c r="AD293" s="14">
        <f ca="1">0.0325*AD224*'TEA values'!$C$24*365*AD244</f>
        <v>0</v>
      </c>
      <c r="AE293" s="14">
        <f ca="1">0.0325*AE224*'TEA values'!$C$24*365*AE244</f>
        <v>0</v>
      </c>
    </row>
    <row r="294" spans="2:32" ht="18.75" hidden="1" x14ac:dyDescent="0.3">
      <c r="B294" t="s">
        <v>296</v>
      </c>
      <c r="C294" s="328" t="s">
        <v>296</v>
      </c>
      <c r="D294" s="335"/>
      <c r="E294" s="362"/>
      <c r="F294" s="326"/>
      <c r="G294" s="326"/>
      <c r="H294" s="327"/>
      <c r="I294" s="326"/>
      <c r="J294" s="326"/>
      <c r="K294" s="379"/>
      <c r="L294" s="326"/>
      <c r="M294" s="326"/>
      <c r="N294" s="326"/>
      <c r="O294" s="326"/>
      <c r="P294" s="326"/>
      <c r="Q294" s="326"/>
      <c r="R294" s="326"/>
      <c r="S294" s="326"/>
      <c r="T294" s="326"/>
      <c r="U294" s="326"/>
      <c r="V294" s="326"/>
      <c r="W294" s="326"/>
      <c r="X294" s="326"/>
      <c r="Y294" s="326"/>
      <c r="Z294" s="326"/>
      <c r="AA294" s="326"/>
      <c r="AB294" s="326"/>
      <c r="AC294" s="326"/>
      <c r="AD294" s="326"/>
      <c r="AE294" s="326"/>
      <c r="AF294" s="326"/>
    </row>
    <row r="295" spans="2:32" hidden="1" x14ac:dyDescent="0.25">
      <c r="B295" t="s">
        <v>296</v>
      </c>
      <c r="C295" s="157" t="s">
        <v>298</v>
      </c>
      <c r="D295" s="329" t="s">
        <v>73</v>
      </c>
      <c r="E295" s="371">
        <f>IFERROR(E230*E235*(E231/(E232+E231)),0)</f>
        <v>0</v>
      </c>
      <c r="F295" s="12">
        <f t="shared" ref="F295:AE295" si="51">IFERROR(F230*F235*(F231/(F232+F231)),0)</f>
        <v>0</v>
      </c>
      <c r="G295" s="12">
        <f t="shared" si="51"/>
        <v>0</v>
      </c>
      <c r="H295" s="12">
        <f t="shared" si="51"/>
        <v>0</v>
      </c>
      <c r="I295" s="12">
        <f t="shared" si="51"/>
        <v>0</v>
      </c>
      <c r="J295" s="12">
        <f t="shared" si="51"/>
        <v>0</v>
      </c>
      <c r="K295" s="13">
        <f t="shared" si="51"/>
        <v>0</v>
      </c>
      <c r="L295" s="12">
        <f t="shared" si="51"/>
        <v>0</v>
      </c>
      <c r="M295" s="12">
        <f t="shared" si="51"/>
        <v>0</v>
      </c>
      <c r="N295" s="12">
        <f t="shared" si="51"/>
        <v>0</v>
      </c>
      <c r="O295" s="12">
        <f t="shared" si="51"/>
        <v>0</v>
      </c>
      <c r="P295" s="12">
        <f t="shared" si="51"/>
        <v>0</v>
      </c>
      <c r="Q295" s="12">
        <f t="shared" si="51"/>
        <v>0</v>
      </c>
      <c r="R295" s="12">
        <f t="shared" si="51"/>
        <v>0</v>
      </c>
      <c r="S295" s="12">
        <f t="shared" si="51"/>
        <v>0</v>
      </c>
      <c r="T295" s="12">
        <f t="shared" si="51"/>
        <v>0</v>
      </c>
      <c r="U295" s="12">
        <f t="shared" si="51"/>
        <v>0</v>
      </c>
      <c r="V295" s="12">
        <f t="shared" si="51"/>
        <v>0</v>
      </c>
      <c r="W295" s="12">
        <f t="shared" si="51"/>
        <v>0</v>
      </c>
      <c r="X295" s="12">
        <f t="shared" si="51"/>
        <v>0</v>
      </c>
      <c r="Y295" s="12">
        <f t="shared" si="51"/>
        <v>0</v>
      </c>
      <c r="Z295" s="12">
        <f t="shared" si="51"/>
        <v>0</v>
      </c>
      <c r="AA295" s="12">
        <f t="shared" si="51"/>
        <v>0</v>
      </c>
      <c r="AB295" s="12">
        <f t="shared" si="51"/>
        <v>0</v>
      </c>
      <c r="AC295" s="12">
        <f t="shared" si="51"/>
        <v>0</v>
      </c>
      <c r="AD295" s="12">
        <f t="shared" si="51"/>
        <v>0</v>
      </c>
      <c r="AE295" s="12">
        <f t="shared" si="51"/>
        <v>0</v>
      </c>
    </row>
    <row r="296" spans="2:32" hidden="1" x14ac:dyDescent="0.25">
      <c r="B296" t="s">
        <v>296</v>
      </c>
      <c r="C296" s="157" t="s">
        <v>294</v>
      </c>
      <c r="D296" s="329" t="s">
        <v>73</v>
      </c>
      <c r="E296" s="365">
        <f>IFERROR(Cockpit!#REF!*2000,0)</f>
        <v>0</v>
      </c>
      <c r="F296" s="14">
        <f>IFERROR(Cockpit!B230*2000,0)</f>
        <v>0</v>
      </c>
      <c r="G296" s="14">
        <f>IFERROR(Cockpit!C230*2000,0)</f>
        <v>0</v>
      </c>
      <c r="H296" s="332">
        <f>IFERROR(Cockpit!D230*2000,0)</f>
        <v>0</v>
      </c>
      <c r="I296" s="14">
        <f>IFERROR(Cockpit!E230*2000,0)</f>
        <v>0</v>
      </c>
      <c r="J296" s="14">
        <f>IFERROR(Cockpit!F230*2000,0)</f>
        <v>0</v>
      </c>
      <c r="K296" s="15">
        <f>IFERROR(Cockpit!G230*2000,0)</f>
        <v>0</v>
      </c>
      <c r="L296" s="14">
        <f>IFERROR(Cockpit!H230*2000,0)</f>
        <v>0</v>
      </c>
      <c r="M296" s="14">
        <f>IFERROR(Cockpit!I230*2000,0)</f>
        <v>0</v>
      </c>
      <c r="N296" s="14">
        <f>IFERROR(Cockpit!J230*2000,0)</f>
        <v>0</v>
      </c>
      <c r="O296" s="14">
        <f>IFERROR(Cockpit!K230*2000,0)</f>
        <v>0</v>
      </c>
    </row>
    <row r="298" spans="2:32" hidden="1" x14ac:dyDescent="0.25">
      <c r="B298" t="s">
        <v>296</v>
      </c>
      <c r="C298" s="157" t="s">
        <v>173</v>
      </c>
      <c r="D298" s="329"/>
      <c r="E298" s="365">
        <f ca="1">0.0325*E234*'TEA values'!$C$24*365*E245</f>
        <v>0</v>
      </c>
      <c r="F298" s="14">
        <f ca="1">0.0325*F234*'TEA values'!$C$24*365*F245</f>
        <v>0</v>
      </c>
      <c r="G298" s="14">
        <f ca="1">0.0325*G234*'TEA values'!$C$24*365*G245</f>
        <v>0</v>
      </c>
      <c r="H298" s="14">
        <f ca="1">0.0325*H234*'TEA values'!$C$24*365*H245</f>
        <v>0</v>
      </c>
      <c r="I298" s="14">
        <f ca="1">0.0325*I234*'TEA values'!$C$24*365*I245</f>
        <v>0</v>
      </c>
      <c r="J298" s="14">
        <f ca="1">0.0325*J234*'TEA values'!$C$24*365*J245</f>
        <v>0</v>
      </c>
      <c r="K298" s="15">
        <f ca="1">0.0325*K234*'TEA values'!$C$24*365*K245</f>
        <v>0</v>
      </c>
      <c r="L298" s="14">
        <f ca="1">0.0325*L234*'TEA values'!$C$24*365*L245</f>
        <v>0</v>
      </c>
      <c r="M298" s="14">
        <f ca="1">0.0325*M234*'TEA values'!$C$24*365*M245</f>
        <v>0</v>
      </c>
      <c r="N298" s="14">
        <f ca="1">0.0325*N234*'TEA values'!$C$24*365*N245</f>
        <v>0</v>
      </c>
      <c r="O298" s="14">
        <f ca="1">0.0325*O234*'TEA values'!$C$24*365*O245</f>
        <v>0</v>
      </c>
      <c r="P298" s="14">
        <f ca="1">0.0325*P234*'TEA values'!$C$24*365*P245</f>
        <v>0</v>
      </c>
      <c r="Q298" s="14">
        <f ca="1">0.0325*Q234*'TEA values'!$C$24*365*Q245</f>
        <v>0</v>
      </c>
      <c r="R298" s="14">
        <f ca="1">0.0325*R234*'TEA values'!$C$24*365*R245</f>
        <v>0</v>
      </c>
      <c r="S298" s="14">
        <f ca="1">0.0325*S234*'TEA values'!$C$24*365*S245</f>
        <v>0</v>
      </c>
      <c r="T298" s="14">
        <f ca="1">0.0325*T234*'TEA values'!$C$24*365*T245</f>
        <v>0</v>
      </c>
      <c r="U298" s="14">
        <f ca="1">0.0325*U234*'TEA values'!$C$24*365*U245</f>
        <v>0</v>
      </c>
      <c r="V298" s="14">
        <f ca="1">0.0325*V234*'TEA values'!$C$24*365*V245</f>
        <v>0</v>
      </c>
      <c r="W298" s="14">
        <f ca="1">0.0325*W234*'TEA values'!$C$24*365*W245</f>
        <v>0</v>
      </c>
      <c r="X298" s="14">
        <f ca="1">0.0325*X234*'TEA values'!$C$24*365*X245</f>
        <v>0</v>
      </c>
      <c r="Y298" s="14">
        <f ca="1">0.0325*Y234*'TEA values'!$C$24*365*Y245</f>
        <v>0</v>
      </c>
      <c r="Z298" s="14">
        <f ca="1">0.0325*Z234*'TEA values'!$C$24*365*Z245</f>
        <v>0</v>
      </c>
      <c r="AA298" s="14">
        <f ca="1">0.0325*AA234*'TEA values'!$C$24*365*AA245</f>
        <v>0</v>
      </c>
      <c r="AB298" s="14">
        <f ca="1">0.0325*AB234*'TEA values'!$C$24*365*AB245</f>
        <v>0</v>
      </c>
      <c r="AC298" s="14">
        <f ca="1">0.0325*AC234*'TEA values'!$C$24*365*AC245</f>
        <v>0</v>
      </c>
      <c r="AD298" s="14">
        <f ca="1">0.0325*AD234*'TEA values'!$C$24*365*AD245</f>
        <v>0</v>
      </c>
      <c r="AE298" s="14">
        <f ca="1">0.0325*AE234*'TEA values'!$C$24*365*AE245</f>
        <v>0</v>
      </c>
    </row>
    <row r="299" spans="2:32" x14ac:dyDescent="0.25">
      <c r="C299" s="293" t="s">
        <v>348</v>
      </c>
      <c r="D299" s="335" t="s">
        <v>73</v>
      </c>
      <c r="E299" s="370">
        <f>IF($D$10="Yes",SUM(E268:E271),0)+IF($E$10="Yes",SUM(E273:E275),0)+IF($F$10="Yes",SUM(E277:E279),0)+IF($G$10="Yes",SUM(E281:E283),0)+IF($H$10="Yes",SUM(E285:E288),0)+IF($I$10="Yes",SUM(E290:E293),0)+IF($J$10="Yes",SUM(E295:E298),0)</f>
        <v>0</v>
      </c>
      <c r="F299" s="370">
        <f t="shared" ref="F299:AE299" si="52">IF($D$10="Yes",SUM(F268:F271),0)+IF($E$10="Yes",SUM(F273:F275),0)+IF($F$10="Yes",SUM(F277:F279),0)+IF($G$10="Yes",SUM(F281:F283),0)+IF($H$10="Yes",SUM(F285:F288),0)+IF($I$10="Yes",SUM(F290:F293),0)+IF($J$10="Yes",SUM(F295:F298),0)</f>
        <v>0</v>
      </c>
      <c r="G299" s="370">
        <f t="shared" si="52"/>
        <v>0</v>
      </c>
      <c r="H299" s="370">
        <f t="shared" si="52"/>
        <v>0</v>
      </c>
      <c r="I299" s="370">
        <f t="shared" si="52"/>
        <v>0</v>
      </c>
      <c r="J299" s="370">
        <f t="shared" si="52"/>
        <v>23516220</v>
      </c>
      <c r="K299" s="370">
        <f t="shared" si="52"/>
        <v>4974585</v>
      </c>
      <c r="L299" s="370">
        <f t="shared" si="52"/>
        <v>15828225</v>
      </c>
      <c r="M299" s="370">
        <f t="shared" si="52"/>
        <v>37686250</v>
      </c>
      <c r="N299" s="370">
        <f t="shared" si="52"/>
        <v>44116912.5</v>
      </c>
      <c r="O299" s="370">
        <f t="shared" si="52"/>
        <v>48998125</v>
      </c>
      <c r="P299" s="370">
        <f t="shared" si="52"/>
        <v>76899950</v>
      </c>
      <c r="Q299" s="370">
        <f t="shared" si="52"/>
        <v>71277012.5</v>
      </c>
      <c r="R299" s="370">
        <f t="shared" si="52"/>
        <v>84884062.5</v>
      </c>
      <c r="S299" s="370">
        <f t="shared" si="52"/>
        <v>98491112.5</v>
      </c>
      <c r="T299" s="370">
        <f t="shared" si="52"/>
        <v>112098162.5</v>
      </c>
      <c r="U299" s="370">
        <f t="shared" si="52"/>
        <v>125705212.5</v>
      </c>
      <c r="V299" s="370">
        <f t="shared" si="52"/>
        <v>139312262.5</v>
      </c>
      <c r="W299" s="370">
        <f t="shared" si="52"/>
        <v>152919312.5</v>
      </c>
      <c r="X299" s="370">
        <f t="shared" si="52"/>
        <v>166526362.5</v>
      </c>
      <c r="Y299" s="370">
        <f t="shared" si="52"/>
        <v>180133412.5</v>
      </c>
      <c r="Z299" s="370">
        <f t="shared" si="52"/>
        <v>193740462.5</v>
      </c>
      <c r="AA299" s="370">
        <f t="shared" si="52"/>
        <v>207347512.5</v>
      </c>
      <c r="AB299" s="370">
        <f t="shared" si="52"/>
        <v>220954562.5</v>
      </c>
      <c r="AC299" s="370">
        <f t="shared" si="52"/>
        <v>234561612.5</v>
      </c>
      <c r="AD299" s="370">
        <f t="shared" si="52"/>
        <v>248168662.5</v>
      </c>
      <c r="AE299" s="370">
        <f t="shared" si="52"/>
        <v>261775712.5</v>
      </c>
    </row>
    <row r="300" spans="2:32" x14ac:dyDescent="0.25">
      <c r="C300" s="293"/>
      <c r="D300" s="335"/>
      <c r="E300" s="370"/>
      <c r="F300" s="341"/>
      <c r="G300" s="341"/>
      <c r="H300" s="342"/>
      <c r="I300" s="341"/>
      <c r="J300" s="341"/>
      <c r="K300" s="38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2:32" hidden="1" x14ac:dyDescent="0.25">
      <c r="B301" t="s">
        <v>263</v>
      </c>
      <c r="C301" s="4" t="s">
        <v>299</v>
      </c>
      <c r="D301" s="347"/>
      <c r="E301" s="373"/>
      <c r="F301" s="348"/>
      <c r="G301" s="348"/>
      <c r="H301" s="349"/>
      <c r="I301" s="349"/>
      <c r="J301" s="349"/>
      <c r="K301" s="383"/>
      <c r="L301" s="349"/>
      <c r="M301" s="349"/>
      <c r="N301" s="349"/>
      <c r="O301" s="349"/>
      <c r="P301" s="349"/>
      <c r="Q301" s="349"/>
      <c r="R301" s="349"/>
      <c r="S301" s="349"/>
      <c r="T301" s="349"/>
      <c r="U301" s="349"/>
      <c r="V301" s="349"/>
      <c r="W301" s="349"/>
      <c r="X301" s="349"/>
      <c r="Y301" s="349"/>
      <c r="Z301" s="349"/>
      <c r="AA301" s="349"/>
      <c r="AB301" s="349"/>
      <c r="AC301" s="349"/>
      <c r="AD301" s="349"/>
      <c r="AE301" s="349"/>
    </row>
    <row r="302" spans="2:32" x14ac:dyDescent="0.25">
      <c r="B302" t="s">
        <v>264</v>
      </c>
      <c r="C302" s="4" t="s">
        <v>178</v>
      </c>
      <c r="D302" s="347"/>
      <c r="E302" s="373"/>
      <c r="F302" s="348"/>
      <c r="G302" s="348"/>
      <c r="H302" s="349"/>
      <c r="I302" s="349"/>
      <c r="J302" s="349"/>
      <c r="K302" s="383"/>
      <c r="L302" s="349"/>
      <c r="M302" s="349"/>
      <c r="N302" s="349"/>
      <c r="O302" s="349"/>
      <c r="P302" s="349"/>
      <c r="Q302" s="349"/>
      <c r="R302" s="349"/>
      <c r="S302" s="349"/>
      <c r="T302" s="349"/>
      <c r="U302" s="349"/>
      <c r="V302" s="349"/>
      <c r="W302" s="349"/>
      <c r="X302" s="349"/>
      <c r="Y302" s="349"/>
      <c r="Z302" s="349"/>
      <c r="AA302" s="349"/>
      <c r="AB302" s="349"/>
      <c r="AC302" s="349"/>
      <c r="AD302" s="349"/>
      <c r="AE302" s="349"/>
      <c r="AF302" t="s">
        <v>179</v>
      </c>
    </row>
    <row r="303" spans="2:32" hidden="1" x14ac:dyDescent="0.25">
      <c r="B303" t="s">
        <v>282</v>
      </c>
      <c r="C303" s="4" t="s">
        <v>178</v>
      </c>
      <c r="D303" s="347"/>
      <c r="E303" s="373"/>
      <c r="F303" s="348"/>
      <c r="G303" s="348"/>
      <c r="H303" s="349"/>
      <c r="I303" s="349"/>
      <c r="J303" s="349"/>
      <c r="K303" s="383"/>
      <c r="L303" s="349"/>
      <c r="M303" s="349"/>
      <c r="N303" s="349"/>
      <c r="O303" s="349"/>
      <c r="P303" s="349"/>
      <c r="Q303" s="349"/>
      <c r="R303" s="349"/>
      <c r="S303" s="349"/>
      <c r="T303" s="349"/>
      <c r="U303" s="349"/>
      <c r="V303" s="349"/>
      <c r="W303" s="349"/>
      <c r="X303" s="349"/>
      <c r="Y303" s="349"/>
      <c r="Z303" s="349"/>
      <c r="AA303" s="349"/>
      <c r="AB303" s="349"/>
      <c r="AC303" s="349"/>
      <c r="AD303" s="349"/>
      <c r="AE303" s="349"/>
    </row>
    <row r="304" spans="2:32" hidden="1" x14ac:dyDescent="0.25">
      <c r="B304" t="s">
        <v>283</v>
      </c>
      <c r="C304" s="4" t="s">
        <v>178</v>
      </c>
      <c r="D304" s="347"/>
      <c r="E304" s="373"/>
      <c r="F304" s="348"/>
      <c r="G304" s="348"/>
      <c r="H304" s="349"/>
      <c r="I304" s="349"/>
      <c r="J304" s="349"/>
      <c r="K304" s="383"/>
      <c r="L304" s="349"/>
      <c r="M304" s="349"/>
      <c r="N304" s="349"/>
      <c r="O304" s="349"/>
      <c r="P304" s="349"/>
      <c r="Q304" s="349"/>
      <c r="R304" s="349"/>
      <c r="S304" s="349"/>
      <c r="T304" s="349"/>
      <c r="U304" s="349"/>
      <c r="V304" s="349"/>
      <c r="W304" s="349"/>
      <c r="X304" s="349"/>
      <c r="Y304" s="349"/>
      <c r="Z304" s="349"/>
      <c r="AA304" s="349"/>
      <c r="AB304" s="349"/>
      <c r="AC304" s="349"/>
      <c r="AD304" s="349"/>
      <c r="AE304" s="349"/>
    </row>
    <row r="305" spans="2:32" hidden="1" x14ac:dyDescent="0.25">
      <c r="B305" t="s">
        <v>265</v>
      </c>
      <c r="C305" s="4" t="s">
        <v>178</v>
      </c>
      <c r="D305" s="347"/>
      <c r="E305" s="373"/>
      <c r="F305" s="348"/>
      <c r="G305" s="348"/>
      <c r="H305" s="349"/>
      <c r="I305" s="349"/>
      <c r="J305" s="349"/>
      <c r="K305" s="383"/>
      <c r="L305" s="349"/>
      <c r="M305" s="349"/>
      <c r="N305" s="349"/>
      <c r="O305" s="349"/>
      <c r="P305" s="349"/>
      <c r="Q305" s="349"/>
      <c r="R305" s="349"/>
      <c r="S305" s="349"/>
      <c r="T305" s="349"/>
      <c r="U305" s="349"/>
      <c r="V305" s="349"/>
      <c r="W305" s="349"/>
      <c r="X305" s="349"/>
      <c r="Y305" s="349"/>
      <c r="Z305" s="349"/>
      <c r="AA305" s="349"/>
      <c r="AB305" s="349"/>
      <c r="AC305" s="349"/>
      <c r="AD305" s="349"/>
      <c r="AE305" s="349"/>
    </row>
    <row r="306" spans="2:32" hidden="1" x14ac:dyDescent="0.25">
      <c r="B306" t="s">
        <v>278</v>
      </c>
      <c r="C306" s="4" t="s">
        <v>178</v>
      </c>
      <c r="D306" s="347"/>
      <c r="E306" s="373"/>
      <c r="F306" s="348"/>
      <c r="G306" s="348"/>
      <c r="H306" s="349"/>
      <c r="I306" s="349"/>
      <c r="J306" s="349"/>
      <c r="K306" s="383"/>
      <c r="L306" s="349"/>
      <c r="M306" s="349"/>
      <c r="N306" s="349"/>
      <c r="O306" s="349"/>
      <c r="P306" s="349"/>
      <c r="Q306" s="349"/>
      <c r="R306" s="349"/>
      <c r="S306" s="349"/>
      <c r="T306" s="349"/>
      <c r="U306" s="349"/>
      <c r="V306" s="349"/>
      <c r="W306" s="349"/>
      <c r="X306" s="349"/>
      <c r="Y306" s="349"/>
      <c r="Z306" s="349"/>
      <c r="AA306" s="349"/>
      <c r="AB306" s="349"/>
      <c r="AC306" s="349"/>
      <c r="AD306" s="349"/>
      <c r="AE306" s="349"/>
    </row>
    <row r="307" spans="2:32" hidden="1" x14ac:dyDescent="0.25">
      <c r="B307" t="s">
        <v>296</v>
      </c>
      <c r="C307" s="4" t="s">
        <v>178</v>
      </c>
      <c r="D307" s="347"/>
      <c r="E307" s="373"/>
      <c r="F307" s="348"/>
      <c r="G307" s="348"/>
      <c r="H307" s="349"/>
      <c r="I307" s="349"/>
      <c r="J307" s="349"/>
      <c r="K307" s="383"/>
      <c r="L307" s="349"/>
      <c r="M307" s="349"/>
      <c r="N307" s="349"/>
      <c r="O307" s="349"/>
      <c r="P307" s="349"/>
      <c r="Q307" s="349"/>
      <c r="R307" s="349"/>
      <c r="S307" s="349"/>
      <c r="T307" s="349"/>
      <c r="U307" s="349"/>
      <c r="V307" s="349"/>
      <c r="W307" s="349"/>
      <c r="X307" s="349"/>
      <c r="Y307" s="349"/>
      <c r="Z307" s="349"/>
      <c r="AA307" s="349"/>
      <c r="AB307" s="349"/>
      <c r="AC307" s="349"/>
      <c r="AD307" s="349"/>
      <c r="AE307" s="349"/>
    </row>
    <row r="308" spans="2:32" x14ac:dyDescent="0.25">
      <c r="C308" s="157"/>
      <c r="D308" s="329"/>
      <c r="E308" s="372"/>
      <c r="F308" s="346"/>
      <c r="G308" s="346"/>
      <c r="H308" s="350"/>
      <c r="I308" s="350"/>
      <c r="J308" s="350"/>
      <c r="K308" s="382"/>
      <c r="L308" s="350"/>
      <c r="M308" s="350"/>
      <c r="N308" s="350"/>
      <c r="O308" s="350"/>
      <c r="P308" s="350"/>
      <c r="Q308" s="350"/>
      <c r="R308" s="350"/>
      <c r="S308" s="350"/>
      <c r="T308" s="350"/>
      <c r="U308" s="350"/>
      <c r="V308" s="350"/>
      <c r="W308" s="350"/>
      <c r="X308" s="350"/>
      <c r="Y308" s="350"/>
      <c r="Z308" s="350"/>
      <c r="AA308" s="350"/>
      <c r="AB308" s="350"/>
      <c r="AC308" s="350"/>
      <c r="AD308" s="350"/>
      <c r="AE308" s="350"/>
    </row>
    <row r="309" spans="2:32" x14ac:dyDescent="0.25">
      <c r="C309" s="340" t="s">
        <v>312</v>
      </c>
      <c r="D309" s="338"/>
      <c r="E309" s="369"/>
      <c r="H309" s="339"/>
      <c r="I309" s="339"/>
      <c r="J309" s="339"/>
      <c r="K309" s="52"/>
      <c r="L309" s="339"/>
      <c r="M309" s="339"/>
      <c r="N309" s="339"/>
      <c r="O309" s="339"/>
      <c r="P309" s="339"/>
      <c r="Q309" s="339"/>
      <c r="R309" s="339"/>
      <c r="S309" s="339"/>
      <c r="T309" s="339"/>
      <c r="U309" s="339"/>
      <c r="V309" s="339"/>
      <c r="W309" s="339"/>
      <c r="X309" s="339"/>
      <c r="Y309" s="339"/>
      <c r="Z309" s="339"/>
      <c r="AA309" s="339"/>
      <c r="AB309" s="339"/>
      <c r="AC309" s="339"/>
      <c r="AD309" s="339"/>
      <c r="AE309" s="339"/>
    </row>
    <row r="310" spans="2:32" ht="18.75" hidden="1" x14ac:dyDescent="0.3">
      <c r="B310" t="s">
        <v>263</v>
      </c>
      <c r="C310" s="328" t="s">
        <v>263</v>
      </c>
      <c r="D310" s="335"/>
      <c r="E310" s="362"/>
      <c r="F310" s="326"/>
      <c r="G310" s="326"/>
      <c r="H310" s="327"/>
      <c r="I310" s="327"/>
      <c r="J310" s="327"/>
      <c r="K310" s="379"/>
      <c r="L310" s="327"/>
      <c r="M310" s="327"/>
      <c r="N310" s="327"/>
      <c r="O310" s="327"/>
      <c r="P310" s="327"/>
      <c r="Q310" s="327"/>
      <c r="R310" s="327"/>
      <c r="S310" s="327"/>
      <c r="T310" s="327"/>
      <c r="U310" s="327"/>
      <c r="V310" s="327"/>
      <c r="W310" s="327"/>
      <c r="X310" s="327"/>
      <c r="Y310" s="327"/>
      <c r="Z310" s="327"/>
      <c r="AA310" s="327"/>
      <c r="AB310" s="327"/>
      <c r="AC310" s="327"/>
      <c r="AD310" s="327"/>
      <c r="AE310" s="327"/>
      <c r="AF310" s="326"/>
    </row>
    <row r="311" spans="2:32" hidden="1" x14ac:dyDescent="0.25">
      <c r="B311" t="s">
        <v>263</v>
      </c>
      <c r="C311" s="157" t="s">
        <v>293</v>
      </c>
      <c r="D311" s="329" t="s">
        <v>73</v>
      </c>
      <c r="E311" s="365">
        <f>Cockpit!E181*Cockpit!E177</f>
        <v>0</v>
      </c>
      <c r="F311" s="14">
        <f>Cockpit!F181*Cockpit!F177</f>
        <v>0</v>
      </c>
      <c r="G311" s="14">
        <f>Cockpit!G181*Cockpit!G177</f>
        <v>0</v>
      </c>
      <c r="H311" s="332">
        <f>Cockpit!H181*Cockpit!H177</f>
        <v>0</v>
      </c>
      <c r="I311" s="14">
        <f>Cockpit!I181*Cockpit!I177</f>
        <v>0</v>
      </c>
      <c r="J311" s="14">
        <f>Cockpit!J181*Cockpit!J177</f>
        <v>0</v>
      </c>
      <c r="K311" s="15">
        <f>Cockpit!K181*Cockpit!K177</f>
        <v>0</v>
      </c>
      <c r="L311" s="14">
        <f>Cockpit!L181*Cockpit!L177</f>
        <v>0</v>
      </c>
      <c r="M311" s="14">
        <f>Cockpit!M181*Cockpit!M177</f>
        <v>0</v>
      </c>
      <c r="N311" s="14">
        <f>Cockpit!N181*Cockpit!N177</f>
        <v>0</v>
      </c>
      <c r="O311" s="14">
        <f>Cockpit!O181*Cockpit!O177</f>
        <v>0</v>
      </c>
      <c r="P311" s="14">
        <f>Cockpit!P181*Cockpit!P177</f>
        <v>0</v>
      </c>
      <c r="Q311" s="14">
        <f>Cockpit!Q181*Cockpit!Q177</f>
        <v>0</v>
      </c>
      <c r="R311" s="14">
        <f>Cockpit!R181*Cockpit!R177</f>
        <v>0</v>
      </c>
      <c r="S311" s="14">
        <f>Cockpit!S181*Cockpit!S177</f>
        <v>0</v>
      </c>
      <c r="T311" s="14">
        <f>Cockpit!T181*Cockpit!T177</f>
        <v>0</v>
      </c>
      <c r="U311" s="14">
        <f>Cockpit!U181*Cockpit!U177</f>
        <v>0</v>
      </c>
      <c r="V311" s="14">
        <f>Cockpit!V181*Cockpit!V177</f>
        <v>0</v>
      </c>
      <c r="W311" s="14">
        <f>Cockpit!W181*Cockpit!W177</f>
        <v>0</v>
      </c>
      <c r="X311" s="14">
        <f>Cockpit!X181*Cockpit!X177</f>
        <v>0</v>
      </c>
      <c r="Y311" s="14">
        <f>Cockpit!Y181*Cockpit!Y177</f>
        <v>0</v>
      </c>
      <c r="Z311" s="14">
        <f>Cockpit!Z181*Cockpit!Z177</f>
        <v>0</v>
      </c>
      <c r="AA311" s="14">
        <f>Cockpit!AA181*Cockpit!AA177</f>
        <v>0</v>
      </c>
      <c r="AB311" s="14">
        <f>Cockpit!AB181*Cockpit!AB177</f>
        <v>0</v>
      </c>
      <c r="AC311" s="14">
        <f>Cockpit!AC181*Cockpit!AC177</f>
        <v>0</v>
      </c>
      <c r="AD311" s="14">
        <f>Cockpit!AD181*Cockpit!AD177</f>
        <v>0</v>
      </c>
      <c r="AE311" s="14">
        <f>Cockpit!AE181*Cockpit!AE177</f>
        <v>0</v>
      </c>
    </row>
    <row r="312" spans="2:32" ht="18.75" hidden="1" x14ac:dyDescent="0.3">
      <c r="B312" t="s">
        <v>282</v>
      </c>
      <c r="C312" s="328" t="s">
        <v>282</v>
      </c>
      <c r="D312" s="335"/>
      <c r="E312" s="362"/>
      <c r="F312" s="326"/>
      <c r="G312" s="326"/>
      <c r="H312" s="327"/>
      <c r="I312" s="326"/>
      <c r="J312" s="326"/>
      <c r="K312" s="379"/>
      <c r="L312" s="326"/>
      <c r="M312" s="326"/>
      <c r="N312" s="326"/>
      <c r="O312" s="326"/>
      <c r="P312" s="326"/>
      <c r="Q312" s="326"/>
      <c r="R312" s="326"/>
      <c r="S312" s="326"/>
      <c r="T312" s="326"/>
      <c r="U312" s="326"/>
      <c r="V312" s="326"/>
      <c r="W312" s="326"/>
      <c r="X312" s="326"/>
      <c r="Y312" s="326"/>
      <c r="Z312" s="326"/>
      <c r="AA312" s="326"/>
      <c r="AB312" s="326"/>
      <c r="AC312" s="326"/>
      <c r="AD312" s="326"/>
      <c r="AE312" s="326"/>
      <c r="AF312" s="326"/>
    </row>
    <row r="313" spans="2:32" hidden="1" x14ac:dyDescent="0.25">
      <c r="B313" t="s">
        <v>282</v>
      </c>
      <c r="C313" s="157" t="s">
        <v>293</v>
      </c>
      <c r="D313" s="329" t="s">
        <v>73</v>
      </c>
      <c r="E313" s="371">
        <f t="shared" ref="E313:O313" si="53">E194*E195</f>
        <v>0</v>
      </c>
      <c r="F313" s="12">
        <f t="shared" si="53"/>
        <v>0</v>
      </c>
      <c r="G313" s="12">
        <f t="shared" si="53"/>
        <v>0</v>
      </c>
      <c r="H313" s="344">
        <f t="shared" si="53"/>
        <v>0</v>
      </c>
      <c r="I313" s="12">
        <f t="shared" si="53"/>
        <v>0</v>
      </c>
      <c r="J313" s="12">
        <f t="shared" si="53"/>
        <v>0</v>
      </c>
      <c r="K313" s="13">
        <f t="shared" si="53"/>
        <v>0</v>
      </c>
      <c r="L313" s="12">
        <f t="shared" si="53"/>
        <v>0</v>
      </c>
      <c r="M313" s="12">
        <f t="shared" si="53"/>
        <v>0</v>
      </c>
      <c r="N313" s="12">
        <f t="shared" si="53"/>
        <v>0</v>
      </c>
      <c r="O313" s="12">
        <f t="shared" si="53"/>
        <v>0</v>
      </c>
      <c r="P313" s="12">
        <f t="shared" ref="P313:AE313" si="54">P194*P195</f>
        <v>0</v>
      </c>
      <c r="Q313" s="12">
        <f t="shared" si="54"/>
        <v>0</v>
      </c>
      <c r="R313" s="12">
        <f t="shared" si="54"/>
        <v>0</v>
      </c>
      <c r="S313" s="12">
        <f t="shared" si="54"/>
        <v>0</v>
      </c>
      <c r="T313" s="12">
        <f t="shared" si="54"/>
        <v>0</v>
      </c>
      <c r="U313" s="12">
        <f t="shared" si="54"/>
        <v>0</v>
      </c>
      <c r="V313" s="12">
        <f t="shared" si="54"/>
        <v>0</v>
      </c>
      <c r="W313" s="12">
        <f t="shared" si="54"/>
        <v>0</v>
      </c>
      <c r="X313" s="12">
        <f t="shared" si="54"/>
        <v>0</v>
      </c>
      <c r="Y313" s="12">
        <f t="shared" si="54"/>
        <v>0</v>
      </c>
      <c r="Z313" s="12">
        <f t="shared" si="54"/>
        <v>0</v>
      </c>
      <c r="AA313" s="12">
        <f t="shared" si="54"/>
        <v>0</v>
      </c>
      <c r="AB313" s="12">
        <f t="shared" si="54"/>
        <v>0</v>
      </c>
      <c r="AC313" s="12">
        <f t="shared" si="54"/>
        <v>0</v>
      </c>
      <c r="AD313" s="12">
        <f t="shared" si="54"/>
        <v>0</v>
      </c>
      <c r="AE313" s="12">
        <f t="shared" si="54"/>
        <v>0</v>
      </c>
    </row>
    <row r="314" spans="2:32" ht="18.75" hidden="1" x14ac:dyDescent="0.3">
      <c r="B314" t="s">
        <v>283</v>
      </c>
      <c r="C314" s="328" t="s">
        <v>283</v>
      </c>
      <c r="D314" s="335"/>
      <c r="E314" s="362"/>
      <c r="F314" s="326"/>
      <c r="G314" s="326"/>
      <c r="H314" s="327"/>
      <c r="I314" s="326"/>
      <c r="J314" s="326"/>
      <c r="K314" s="379"/>
      <c r="L314" s="326"/>
      <c r="M314" s="326"/>
      <c r="N314" s="326"/>
      <c r="O314" s="326"/>
      <c r="P314" s="326"/>
      <c r="Q314" s="326"/>
      <c r="R314" s="326"/>
      <c r="S314" s="326"/>
      <c r="T314" s="326"/>
      <c r="U314" s="326"/>
      <c r="V314" s="326"/>
      <c r="W314" s="326"/>
      <c r="X314" s="326"/>
      <c r="Y314" s="326"/>
      <c r="Z314" s="326"/>
      <c r="AA314" s="326"/>
      <c r="AB314" s="326"/>
      <c r="AC314" s="326"/>
      <c r="AD314" s="326"/>
      <c r="AE314" s="326"/>
      <c r="AF314" s="326"/>
    </row>
    <row r="315" spans="2:32" hidden="1" x14ac:dyDescent="0.25">
      <c r="B315" t="s">
        <v>283</v>
      </c>
      <c r="C315" s="157" t="s">
        <v>293</v>
      </c>
      <c r="D315" s="329" t="s">
        <v>73</v>
      </c>
      <c r="E315" s="365">
        <f t="shared" ref="E315:O315" si="55">E181*E202</f>
        <v>0</v>
      </c>
      <c r="F315" s="14">
        <f t="shared" si="55"/>
        <v>0</v>
      </c>
      <c r="G315" s="14">
        <f t="shared" si="55"/>
        <v>0</v>
      </c>
      <c r="H315" s="332">
        <f t="shared" si="55"/>
        <v>0</v>
      </c>
      <c r="I315" s="14">
        <f t="shared" si="55"/>
        <v>0</v>
      </c>
      <c r="J315" s="14">
        <f t="shared" si="55"/>
        <v>0</v>
      </c>
      <c r="K315" s="15">
        <f t="shared" si="55"/>
        <v>0</v>
      </c>
      <c r="L315" s="14">
        <f t="shared" si="55"/>
        <v>0</v>
      </c>
      <c r="M315" s="14">
        <f t="shared" si="55"/>
        <v>0</v>
      </c>
      <c r="N315" s="14">
        <f t="shared" si="55"/>
        <v>0</v>
      </c>
      <c r="O315" s="14">
        <f t="shared" si="55"/>
        <v>0</v>
      </c>
      <c r="P315" s="14">
        <f t="shared" ref="P315:AE315" si="56">P181*P202</f>
        <v>0</v>
      </c>
      <c r="Q315" s="14">
        <f t="shared" si="56"/>
        <v>0</v>
      </c>
      <c r="R315" s="14">
        <f t="shared" si="56"/>
        <v>0</v>
      </c>
      <c r="S315" s="14">
        <f t="shared" si="56"/>
        <v>0</v>
      </c>
      <c r="T315" s="14">
        <f t="shared" si="56"/>
        <v>0</v>
      </c>
      <c r="U315" s="14">
        <f t="shared" si="56"/>
        <v>0</v>
      </c>
      <c r="V315" s="14">
        <f t="shared" si="56"/>
        <v>0</v>
      </c>
      <c r="W315" s="14">
        <f t="shared" si="56"/>
        <v>0</v>
      </c>
      <c r="X315" s="14">
        <f t="shared" si="56"/>
        <v>0</v>
      </c>
      <c r="Y315" s="14">
        <f t="shared" si="56"/>
        <v>0</v>
      </c>
      <c r="Z315" s="14">
        <f t="shared" si="56"/>
        <v>0</v>
      </c>
      <c r="AA315" s="14">
        <f t="shared" si="56"/>
        <v>0</v>
      </c>
      <c r="AB315" s="14">
        <f t="shared" si="56"/>
        <v>0</v>
      </c>
      <c r="AC315" s="14">
        <f t="shared" si="56"/>
        <v>0</v>
      </c>
      <c r="AD315" s="14">
        <f t="shared" si="56"/>
        <v>0</v>
      </c>
      <c r="AE315" s="14">
        <f t="shared" si="56"/>
        <v>0</v>
      </c>
    </row>
    <row r="316" spans="2:32" ht="18.75" hidden="1" x14ac:dyDescent="0.3">
      <c r="B316" t="s">
        <v>265</v>
      </c>
      <c r="C316" s="328" t="s">
        <v>265</v>
      </c>
      <c r="D316" s="335"/>
      <c r="E316" s="362"/>
      <c r="F316" s="326"/>
      <c r="G316" s="326"/>
      <c r="H316" s="327"/>
      <c r="I316" s="326"/>
      <c r="J316" s="326"/>
      <c r="K316" s="379"/>
      <c r="L316" s="326"/>
      <c r="M316" s="326"/>
      <c r="N316" s="326"/>
      <c r="O316" s="326"/>
      <c r="P316" s="326"/>
      <c r="Q316" s="326"/>
      <c r="R316" s="326"/>
      <c r="S316" s="326"/>
      <c r="T316" s="326"/>
      <c r="U316" s="326"/>
      <c r="V316" s="326"/>
      <c r="W316" s="326"/>
      <c r="X316" s="326"/>
      <c r="Y316" s="326"/>
      <c r="Z316" s="326"/>
      <c r="AA316" s="326"/>
      <c r="AB316" s="326"/>
      <c r="AC316" s="326"/>
      <c r="AD316" s="326"/>
      <c r="AE316" s="326"/>
      <c r="AF316" s="326"/>
    </row>
    <row r="317" spans="2:32" hidden="1" x14ac:dyDescent="0.25">
      <c r="B317" t="s">
        <v>265</v>
      </c>
      <c r="C317" s="157" t="s">
        <v>293</v>
      </c>
      <c r="D317" s="329" t="s">
        <v>73</v>
      </c>
      <c r="E317" s="365">
        <f>E181*E211</f>
        <v>0</v>
      </c>
      <c r="F317" s="14">
        <f t="shared" ref="F317:O317" si="57">F251*F211</f>
        <v>0</v>
      </c>
      <c r="G317" s="14">
        <f t="shared" si="57"/>
        <v>0</v>
      </c>
      <c r="H317" s="332">
        <f t="shared" si="57"/>
        <v>0</v>
      </c>
      <c r="I317" s="14">
        <f t="shared" si="57"/>
        <v>0</v>
      </c>
      <c r="J317" s="14">
        <f t="shared" si="57"/>
        <v>0</v>
      </c>
      <c r="K317" s="15">
        <f t="shared" si="57"/>
        <v>0</v>
      </c>
      <c r="L317" s="14">
        <f t="shared" si="57"/>
        <v>0</v>
      </c>
      <c r="M317" s="14">
        <f t="shared" si="57"/>
        <v>0</v>
      </c>
      <c r="N317" s="14">
        <f t="shared" si="57"/>
        <v>0</v>
      </c>
      <c r="O317" s="14">
        <f t="shared" si="57"/>
        <v>0</v>
      </c>
      <c r="P317" s="14">
        <f t="shared" ref="P317:AE317" si="58">P251*P211</f>
        <v>0</v>
      </c>
      <c r="Q317" s="14">
        <f t="shared" si="58"/>
        <v>0</v>
      </c>
      <c r="R317" s="14">
        <f t="shared" si="58"/>
        <v>0</v>
      </c>
      <c r="S317" s="14">
        <f t="shared" si="58"/>
        <v>0</v>
      </c>
      <c r="T317" s="14">
        <f t="shared" si="58"/>
        <v>0</v>
      </c>
      <c r="U317" s="14">
        <f t="shared" si="58"/>
        <v>0</v>
      </c>
      <c r="V317" s="14">
        <f t="shared" si="58"/>
        <v>0</v>
      </c>
      <c r="W317" s="14">
        <f t="shared" si="58"/>
        <v>0</v>
      </c>
      <c r="X317" s="14">
        <f t="shared" si="58"/>
        <v>0</v>
      </c>
      <c r="Y317" s="14">
        <f t="shared" si="58"/>
        <v>0</v>
      </c>
      <c r="Z317" s="14">
        <f t="shared" si="58"/>
        <v>0</v>
      </c>
      <c r="AA317" s="14">
        <f t="shared" si="58"/>
        <v>0</v>
      </c>
      <c r="AB317" s="14">
        <f t="shared" si="58"/>
        <v>0</v>
      </c>
      <c r="AC317" s="14">
        <f t="shared" si="58"/>
        <v>0</v>
      </c>
      <c r="AD317" s="14">
        <f t="shared" si="58"/>
        <v>0</v>
      </c>
      <c r="AE317" s="14">
        <f t="shared" si="58"/>
        <v>0</v>
      </c>
    </row>
    <row r="318" spans="2:32" ht="18.75" hidden="1" x14ac:dyDescent="0.3">
      <c r="B318" t="s">
        <v>278</v>
      </c>
      <c r="C318" s="328" t="s">
        <v>278</v>
      </c>
      <c r="D318" s="335"/>
      <c r="E318" s="362"/>
      <c r="F318" s="326"/>
      <c r="G318" s="326"/>
      <c r="H318" s="327"/>
      <c r="I318" s="326"/>
      <c r="J318" s="326"/>
      <c r="K318" s="379"/>
      <c r="L318" s="326"/>
      <c r="M318" s="326"/>
      <c r="N318" s="326"/>
      <c r="O318" s="326"/>
      <c r="P318" s="326"/>
      <c r="Q318" s="326"/>
      <c r="R318" s="326"/>
      <c r="S318" s="326"/>
      <c r="T318" s="326"/>
      <c r="U318" s="326"/>
      <c r="V318" s="326"/>
      <c r="W318" s="326"/>
      <c r="X318" s="326"/>
      <c r="Y318" s="326"/>
      <c r="Z318" s="326"/>
      <c r="AA318" s="326"/>
      <c r="AB318" s="326"/>
      <c r="AC318" s="326"/>
      <c r="AD318" s="326"/>
      <c r="AE318" s="326"/>
      <c r="AF318" s="326"/>
    </row>
    <row r="319" spans="2:32" hidden="1" x14ac:dyDescent="0.25">
      <c r="B319" t="s">
        <v>278</v>
      </c>
      <c r="C319" s="157" t="s">
        <v>293</v>
      </c>
      <c r="D319" s="329" t="s">
        <v>73</v>
      </c>
      <c r="E319" s="371">
        <f t="shared" ref="E319:O319" si="59">E181*E221</f>
        <v>0</v>
      </c>
      <c r="F319" s="12">
        <f t="shared" si="59"/>
        <v>0</v>
      </c>
      <c r="G319" s="12">
        <f t="shared" si="59"/>
        <v>0</v>
      </c>
      <c r="H319" s="344">
        <f t="shared" si="59"/>
        <v>0</v>
      </c>
      <c r="I319" s="12">
        <f t="shared" si="59"/>
        <v>0</v>
      </c>
      <c r="J319" s="12">
        <f t="shared" si="59"/>
        <v>0</v>
      </c>
      <c r="K319" s="13">
        <f t="shared" si="59"/>
        <v>0</v>
      </c>
      <c r="L319" s="12">
        <f t="shared" si="59"/>
        <v>0</v>
      </c>
      <c r="M319" s="12">
        <f t="shared" si="59"/>
        <v>0</v>
      </c>
      <c r="N319" s="12">
        <f t="shared" si="59"/>
        <v>0</v>
      </c>
      <c r="O319" s="12">
        <f t="shared" si="59"/>
        <v>0</v>
      </c>
      <c r="P319" s="12">
        <f t="shared" ref="P319:AE319" si="60">P181*P221</f>
        <v>0</v>
      </c>
      <c r="Q319" s="12">
        <f t="shared" si="60"/>
        <v>0</v>
      </c>
      <c r="R319" s="12">
        <f t="shared" si="60"/>
        <v>0</v>
      </c>
      <c r="S319" s="12">
        <f t="shared" si="60"/>
        <v>0</v>
      </c>
      <c r="T319" s="12">
        <f t="shared" si="60"/>
        <v>0</v>
      </c>
      <c r="U319" s="12">
        <f t="shared" si="60"/>
        <v>0</v>
      </c>
      <c r="V319" s="12">
        <f t="shared" si="60"/>
        <v>0</v>
      </c>
      <c r="W319" s="12">
        <f t="shared" si="60"/>
        <v>0</v>
      </c>
      <c r="X319" s="12">
        <f t="shared" si="60"/>
        <v>0</v>
      </c>
      <c r="Y319" s="12">
        <f t="shared" si="60"/>
        <v>0</v>
      </c>
      <c r="Z319" s="12">
        <f t="shared" si="60"/>
        <v>0</v>
      </c>
      <c r="AA319" s="12">
        <f t="shared" si="60"/>
        <v>0</v>
      </c>
      <c r="AB319" s="12">
        <f t="shared" si="60"/>
        <v>0</v>
      </c>
      <c r="AC319" s="12">
        <f t="shared" si="60"/>
        <v>0</v>
      </c>
      <c r="AD319" s="12">
        <f t="shared" si="60"/>
        <v>0</v>
      </c>
      <c r="AE319" s="12">
        <f t="shared" si="60"/>
        <v>0</v>
      </c>
    </row>
    <row r="320" spans="2:32" ht="18.75" hidden="1" x14ac:dyDescent="0.3">
      <c r="B320" t="s">
        <v>296</v>
      </c>
      <c r="C320" s="328" t="s">
        <v>296</v>
      </c>
      <c r="D320" s="335"/>
      <c r="E320" s="362"/>
      <c r="F320" s="326"/>
      <c r="G320" s="326"/>
      <c r="H320" s="327"/>
      <c r="I320" s="326"/>
      <c r="J320" s="326"/>
      <c r="K320" s="379"/>
      <c r="L320" s="326"/>
      <c r="M320" s="326"/>
      <c r="N320" s="326"/>
      <c r="O320" s="326"/>
      <c r="P320" s="326"/>
      <c r="Q320" s="326"/>
      <c r="R320" s="326"/>
      <c r="S320" s="326"/>
      <c r="T320" s="326"/>
      <c r="U320" s="326"/>
      <c r="V320" s="326"/>
      <c r="W320" s="326"/>
      <c r="X320" s="326"/>
      <c r="Y320" s="326"/>
      <c r="Z320" s="326"/>
      <c r="AA320" s="326"/>
      <c r="AB320" s="326"/>
      <c r="AC320" s="326"/>
      <c r="AD320" s="326"/>
      <c r="AE320" s="326"/>
      <c r="AF320" s="326"/>
    </row>
    <row r="321" spans="2:31" hidden="1" x14ac:dyDescent="0.25">
      <c r="B321" t="s">
        <v>296</v>
      </c>
      <c r="C321" s="157" t="s">
        <v>293</v>
      </c>
      <c r="D321" s="329" t="s">
        <v>73</v>
      </c>
      <c r="E321" s="371">
        <f t="shared" ref="E321:O321" si="61">E230*E181</f>
        <v>0</v>
      </c>
      <c r="F321" s="12">
        <f t="shared" si="61"/>
        <v>0</v>
      </c>
      <c r="G321" s="12">
        <f t="shared" si="61"/>
        <v>0</v>
      </c>
      <c r="H321" s="344">
        <f t="shared" si="61"/>
        <v>0</v>
      </c>
      <c r="I321" s="12">
        <f t="shared" si="61"/>
        <v>0</v>
      </c>
      <c r="J321" s="12">
        <f t="shared" si="61"/>
        <v>0</v>
      </c>
      <c r="K321" s="13">
        <f t="shared" si="61"/>
        <v>0</v>
      </c>
      <c r="L321" s="12">
        <f t="shared" si="61"/>
        <v>0</v>
      </c>
      <c r="M321" s="12">
        <f t="shared" si="61"/>
        <v>0</v>
      </c>
      <c r="N321" s="12">
        <f t="shared" si="61"/>
        <v>0</v>
      </c>
      <c r="O321" s="12">
        <f t="shared" si="61"/>
        <v>0</v>
      </c>
      <c r="P321" s="12">
        <f t="shared" ref="P321:AE321" si="62">P230*P181</f>
        <v>0</v>
      </c>
      <c r="Q321" s="12">
        <f t="shared" si="62"/>
        <v>0</v>
      </c>
      <c r="R321" s="12">
        <f t="shared" si="62"/>
        <v>0</v>
      </c>
      <c r="S321" s="12">
        <f t="shared" si="62"/>
        <v>0</v>
      </c>
      <c r="T321" s="12">
        <f t="shared" si="62"/>
        <v>0</v>
      </c>
      <c r="U321" s="12">
        <f t="shared" si="62"/>
        <v>0</v>
      </c>
      <c r="V321" s="12">
        <f t="shared" si="62"/>
        <v>0</v>
      </c>
      <c r="W321" s="12">
        <f t="shared" si="62"/>
        <v>0</v>
      </c>
      <c r="X321" s="12">
        <f t="shared" si="62"/>
        <v>0</v>
      </c>
      <c r="Y321" s="12">
        <f t="shared" si="62"/>
        <v>0</v>
      </c>
      <c r="Z321" s="12">
        <f t="shared" si="62"/>
        <v>0</v>
      </c>
      <c r="AA321" s="12">
        <f t="shared" si="62"/>
        <v>0</v>
      </c>
      <c r="AB321" s="12">
        <f t="shared" si="62"/>
        <v>0</v>
      </c>
      <c r="AC321" s="12">
        <f t="shared" si="62"/>
        <v>0</v>
      </c>
      <c r="AD321" s="12">
        <f t="shared" si="62"/>
        <v>0</v>
      </c>
      <c r="AE321" s="12">
        <f t="shared" si="62"/>
        <v>0</v>
      </c>
    </row>
    <row r="322" spans="2:31" x14ac:dyDescent="0.25">
      <c r="C322" s="293" t="s">
        <v>349</v>
      </c>
      <c r="D322" s="335" t="s">
        <v>73</v>
      </c>
      <c r="E322" s="370">
        <f>IF($D$10="Yes",SUM(E311),0)+IF($F$10="Yes",SUM(E313),0)+IF($G$10="Yes",SUM(E315),0)+IF($H$10="Yes",SUM(E317),0)+IF($I$10="Yes",SUM(E319),0)+IF($J$10="Yes",SUM(E321),0)</f>
        <v>0</v>
      </c>
      <c r="F322" s="370">
        <f t="shared" ref="F322:AE322" si="63">IF($D$10="Yes",SUM(F311),0)+IF($F$10="Yes",SUM(F313),0)+IF($G$10="Yes",SUM(F315),0)+IF($H$10="Yes",SUM(F317),0)+IF($I$10="Yes",SUM(F319),0)+IF($J$10="Yes",SUM(F321),0)</f>
        <v>0</v>
      </c>
      <c r="G322" s="370">
        <f t="shared" si="63"/>
        <v>0</v>
      </c>
      <c r="H322" s="370">
        <f t="shared" si="63"/>
        <v>0</v>
      </c>
      <c r="I322" s="370">
        <f t="shared" si="63"/>
        <v>0</v>
      </c>
      <c r="J322" s="370">
        <f t="shared" si="63"/>
        <v>0</v>
      </c>
      <c r="K322" s="370">
        <f t="shared" si="63"/>
        <v>0</v>
      </c>
      <c r="L322" s="370">
        <f t="shared" si="63"/>
        <v>0</v>
      </c>
      <c r="M322" s="370">
        <f t="shared" si="63"/>
        <v>0</v>
      </c>
      <c r="N322" s="370">
        <f t="shared" si="63"/>
        <v>0</v>
      </c>
      <c r="O322" s="370">
        <f t="shared" si="63"/>
        <v>0</v>
      </c>
      <c r="P322" s="370">
        <f t="shared" si="63"/>
        <v>0</v>
      </c>
      <c r="Q322" s="370">
        <f t="shared" si="63"/>
        <v>0</v>
      </c>
      <c r="R322" s="370">
        <f t="shared" si="63"/>
        <v>0</v>
      </c>
      <c r="S322" s="370">
        <f t="shared" si="63"/>
        <v>0</v>
      </c>
      <c r="T322" s="370">
        <f t="shared" si="63"/>
        <v>0</v>
      </c>
      <c r="U322" s="370">
        <f t="shared" si="63"/>
        <v>0</v>
      </c>
      <c r="V322" s="370">
        <f t="shared" si="63"/>
        <v>0</v>
      </c>
      <c r="W322" s="370">
        <f t="shared" si="63"/>
        <v>0</v>
      </c>
      <c r="X322" s="370">
        <f t="shared" si="63"/>
        <v>0</v>
      </c>
      <c r="Y322" s="370">
        <f t="shared" si="63"/>
        <v>0</v>
      </c>
      <c r="Z322" s="370">
        <f t="shared" si="63"/>
        <v>0</v>
      </c>
      <c r="AA322" s="370">
        <f t="shared" si="63"/>
        <v>0</v>
      </c>
      <c r="AB322" s="370">
        <f t="shared" si="63"/>
        <v>0</v>
      </c>
      <c r="AC322" s="370">
        <f t="shared" si="63"/>
        <v>0</v>
      </c>
      <c r="AD322" s="370">
        <f t="shared" si="63"/>
        <v>0</v>
      </c>
      <c r="AE322" s="370">
        <f t="shared" si="63"/>
        <v>0</v>
      </c>
    </row>
    <row r="323" spans="2:31" x14ac:dyDescent="0.25">
      <c r="C323" s="157"/>
      <c r="D323" s="329"/>
      <c r="E323" s="367"/>
      <c r="F323" s="20"/>
      <c r="G323" s="20"/>
      <c r="H323" s="336"/>
      <c r="I323" s="20"/>
      <c r="J323" s="20"/>
      <c r="K323" s="21"/>
      <c r="L323" s="20"/>
      <c r="M323" s="20"/>
      <c r="N323" s="20"/>
      <c r="O323" s="20"/>
    </row>
    <row r="324" spans="2:31" x14ac:dyDescent="0.25">
      <c r="C324" s="340" t="s">
        <v>200</v>
      </c>
      <c r="D324" s="338"/>
      <c r="E324" s="367"/>
      <c r="F324" s="20"/>
      <c r="G324" s="20"/>
      <c r="H324" s="336"/>
      <c r="I324" s="20"/>
      <c r="J324" s="20"/>
      <c r="K324" s="21"/>
      <c r="L324" s="20"/>
      <c r="M324" s="20"/>
      <c r="N324" s="20"/>
      <c r="O324" s="20"/>
    </row>
    <row r="325" spans="2:31" ht="18.75" hidden="1" x14ac:dyDescent="0.3">
      <c r="B325" t="s">
        <v>263</v>
      </c>
      <c r="C325" s="328" t="s">
        <v>263</v>
      </c>
      <c r="D325" s="335"/>
      <c r="E325" s="367"/>
      <c r="F325" s="20"/>
      <c r="G325" s="20"/>
      <c r="H325" s="336"/>
      <c r="I325" s="20"/>
      <c r="J325" s="20"/>
      <c r="K325" s="21"/>
      <c r="L325" s="20"/>
      <c r="M325" s="20"/>
      <c r="N325" s="20"/>
      <c r="O325" s="20"/>
    </row>
    <row r="326" spans="2:31" hidden="1" x14ac:dyDescent="0.25">
      <c r="B326" t="s">
        <v>263</v>
      </c>
      <c r="C326" s="157" t="s">
        <v>200</v>
      </c>
      <c r="D326" s="329" t="s">
        <v>342</v>
      </c>
      <c r="E326" s="372">
        <f>IFERROR(E311/D182,0)</f>
        <v>0</v>
      </c>
      <c r="F326" s="350">
        <f>IF(SUM($E311:E311)&gt;SUM($E326:E326),SUM($E311:E311)/E182,0)</f>
        <v>0</v>
      </c>
      <c r="G326" s="350">
        <f>IF(SUM($E311:F311)&gt;SUM($E326:F326),SUM($E311:F311)/F182,0)</f>
        <v>0</v>
      </c>
      <c r="H326" s="350">
        <f>IF(SUM($E311:G311)&gt;SUM($E326:G326),SUM($E311:G311)/G182,0)</f>
        <v>0</v>
      </c>
      <c r="I326" s="350">
        <f>IF(SUM($E311:H311)&gt;SUM($E326:H326),SUM($E311:H311)/H182,0)</f>
        <v>0</v>
      </c>
      <c r="J326" s="350">
        <f>IF(SUM($E311:I311)&gt;SUM($E326:I326),SUM($E311:I311)/I182,0)</f>
        <v>0</v>
      </c>
      <c r="K326" s="350">
        <f>IF(SUM($E311:J311)&gt;SUM($E326:J326),SUM($E311:J311)/J182,0)</f>
        <v>0</v>
      </c>
      <c r="L326" s="350">
        <f>IF(SUM($E311:K311)&gt;SUM($E326:K326),SUM($E311:K311)/K182,0)</f>
        <v>0</v>
      </c>
      <c r="M326" s="350">
        <f>IF(SUM($E311:L311)&gt;SUM($E326:L326),SUM($E311:L311)/L182,0)</f>
        <v>0</v>
      </c>
      <c r="N326" s="350">
        <f>IF(SUM($E311:M311)&gt;SUM($E326:M326),SUM($E311:M311)/M182,0)</f>
        <v>0</v>
      </c>
      <c r="O326" s="350">
        <f>IF(SUM($E311:N311)&gt;SUM($E326:N326),SUM($E311:N311)/N182,0)</f>
        <v>0</v>
      </c>
      <c r="P326" s="350">
        <f>IF(SUM($E311:O311)&gt;SUM($E326:O326),SUM($E311:O311)/O182,0)</f>
        <v>0</v>
      </c>
      <c r="Q326" s="350">
        <f>IF(SUM($E311:P311)&gt;SUM($E326:P326),SUM($E311:P311)/P182,0)</f>
        <v>0</v>
      </c>
      <c r="R326" s="350">
        <f>IF(SUM($E311:Q311)&gt;SUM($E326:Q326),SUM($E311:Q311)/Q182,0)</f>
        <v>0</v>
      </c>
      <c r="S326" s="350">
        <f>IF(SUM($E311:R311)&gt;SUM($E326:R326),SUM($E311:R311)/R182,0)</f>
        <v>0</v>
      </c>
      <c r="T326" s="350">
        <f>IF(SUM($E311:S311)&gt;SUM($E326:S326),SUM($E311:S311)/S182,0)</f>
        <v>0</v>
      </c>
      <c r="U326" s="350">
        <f>IF(SUM($E311:T311)&gt;SUM($E326:T326),SUM($E311:T311)/T182,0)</f>
        <v>0</v>
      </c>
      <c r="V326" s="350">
        <f>IF(SUM($E311:U311)&gt;SUM($E326:U326),SUM($E311:U311)/U182,0)</f>
        <v>0</v>
      </c>
      <c r="W326" s="350">
        <f>IF(SUM($E311:V311)&gt;SUM($E326:V326),SUM($E311:V311)/V182,0)</f>
        <v>0</v>
      </c>
      <c r="X326" s="350">
        <f>IF(SUM($E311:W311)&gt;SUM($E326:W326),SUM($E311:W311)/W182,0)</f>
        <v>0</v>
      </c>
      <c r="Y326" s="350">
        <f>IF(SUM($E311:X311)&gt;SUM($E326:X326),SUM($E311:X311)/X182,0)</f>
        <v>0</v>
      </c>
      <c r="Z326" s="350">
        <f>IF(SUM($E311:Y311)&gt;SUM($E326:Y326),SUM($E311:Y311)/Y182,0)</f>
        <v>0</v>
      </c>
      <c r="AA326" s="350">
        <f>IF(SUM($E311:Z311)&gt;SUM($E326:Z326),SUM($E311:Z311)/Z182,0)</f>
        <v>0</v>
      </c>
      <c r="AB326" s="350">
        <f>IF(SUM($E311:AA311)&gt;SUM($E326:AA326),SUM($E311:AA311)/AA182,0)</f>
        <v>0</v>
      </c>
      <c r="AC326" s="350">
        <f>IF(SUM($E311:AB311)&gt;SUM($E326:AB326),SUM($E311:AB311)/AB182,0)</f>
        <v>0</v>
      </c>
      <c r="AD326" s="350">
        <f>IF(SUM($E311:AC311)&gt;SUM($E326:AC326),SUM($E311:AC311)/AC182,0)</f>
        <v>0</v>
      </c>
      <c r="AE326" s="350">
        <f>IF(SUM($E311:AD311)&gt;SUM($E326:AD326),SUM($E311:AD311)/AD182,0)</f>
        <v>0</v>
      </c>
    </row>
    <row r="327" spans="2:31" ht="18.75" hidden="1" x14ac:dyDescent="0.3">
      <c r="B327" t="s">
        <v>282</v>
      </c>
      <c r="C327" s="328" t="s">
        <v>282</v>
      </c>
      <c r="D327" s="335"/>
      <c r="E327" s="367"/>
      <c r="F327" s="20"/>
      <c r="G327" s="20"/>
      <c r="H327" s="336"/>
      <c r="I327" s="20"/>
      <c r="J327" s="20"/>
      <c r="K327" s="21"/>
      <c r="L327" s="20"/>
      <c r="M327" s="20"/>
      <c r="N327" s="20"/>
      <c r="O327" s="20"/>
    </row>
    <row r="328" spans="2:31" hidden="1" x14ac:dyDescent="0.25">
      <c r="B328" t="s">
        <v>282</v>
      </c>
      <c r="C328" s="157" t="s">
        <v>200</v>
      </c>
      <c r="D328" s="329" t="s">
        <v>342</v>
      </c>
      <c r="E328" s="365">
        <f>IFERROR(E313/D198,0)</f>
        <v>0</v>
      </c>
      <c r="F328" s="14">
        <f>IF(SUM($E313:E313)&gt;SUM($E328:E328),SUM($E313:E313)/E198,0)</f>
        <v>0</v>
      </c>
      <c r="G328" s="14">
        <f>IF(SUM($E313:F313)&gt;SUM($E328:F328),SUM($E313:F313)/F198,0)</f>
        <v>0</v>
      </c>
      <c r="H328" s="14">
        <f>IF(SUM($E313:G313)&gt;SUM($E328:G328),SUM($E313:G313)/G198,0)</f>
        <v>0</v>
      </c>
      <c r="I328" s="14">
        <f>IF(SUM($E313:H313)&gt;SUM($E328:H328),SUM($E313:H313)/H198,0)</f>
        <v>0</v>
      </c>
      <c r="J328" s="14">
        <f>IF(SUM($E313:I313)&gt;SUM($E328:I328),SUM($E313:I313)/I198,0)</f>
        <v>0</v>
      </c>
      <c r="K328" s="14">
        <f>IF(SUM($E313:J313)&gt;SUM($E328:J328),SUM($E313:J313)/J198,0)</f>
        <v>0</v>
      </c>
      <c r="L328" s="14">
        <f>IF(SUM($E313:K313)&gt;SUM($E328:K328),SUM($E313:K313)/K198,0)</f>
        <v>0</v>
      </c>
      <c r="M328" s="14">
        <f>IF(SUM($E313:L313)&gt;SUM($E328:L328),SUM($E313:L313)/L198,0)</f>
        <v>0</v>
      </c>
      <c r="N328" s="14">
        <f>IF(SUM($E313:M313)&gt;SUM($E328:M328),SUM($E313:M313)/M198,0)</f>
        <v>0</v>
      </c>
      <c r="O328" s="14">
        <f>IF(SUM($E313:N313)&gt;SUM($E328:N328),SUM($E313:N313)/N198,0)</f>
        <v>0</v>
      </c>
      <c r="P328" s="14">
        <f>IF(SUM($E313:O313)&gt;SUM($E328:O328),SUM($E313:O313)/O198,0)</f>
        <v>0</v>
      </c>
      <c r="Q328" s="14">
        <f>IF(SUM($E313:P313)&gt;SUM($E328:P328),SUM($E313:P313)/P198,0)</f>
        <v>0</v>
      </c>
      <c r="R328" s="14">
        <f>IF(SUM($E313:Q313)&gt;SUM($E328:Q328),SUM($E313:Q313)/Q198,0)</f>
        <v>0</v>
      </c>
      <c r="S328" s="14">
        <f>IF(SUM($E313:R313)&gt;SUM($E328:R328),SUM($E313:R313)/R198,0)</f>
        <v>0</v>
      </c>
      <c r="T328" s="14">
        <f>IF(SUM($E313:S313)&gt;SUM($E328:S328),SUM($E313:S313)/S198,0)</f>
        <v>0</v>
      </c>
      <c r="U328" s="14">
        <f>IF(SUM($E313:T313)&gt;SUM($E328:T328),SUM($E313:T313)/T198,0)</f>
        <v>0</v>
      </c>
      <c r="V328" s="14">
        <f>IF(SUM($E313:U313)&gt;SUM($E328:U328),SUM($E313:U313)/U198,0)</f>
        <v>0</v>
      </c>
      <c r="W328" s="14">
        <f>IF(SUM($E313:V313)&gt;SUM($E328:V328),SUM($E313:V313)/V198,0)</f>
        <v>0</v>
      </c>
      <c r="X328" s="14">
        <f>IF(SUM($E313:W313)&gt;SUM($E328:W328),SUM($E313:W313)/W198,0)</f>
        <v>0</v>
      </c>
      <c r="Y328" s="14">
        <f>IF(SUM($E313:X313)&gt;SUM($E328:X328),SUM($E313:X313)/X198,0)</f>
        <v>0</v>
      </c>
      <c r="Z328" s="14">
        <f>IF(SUM($E313:Y313)&gt;SUM($E328:Y328),SUM($E313:Y313)/Y198,0)</f>
        <v>0</v>
      </c>
      <c r="AA328" s="14">
        <f>IF(SUM($E313:Z313)&gt;SUM($E328:Z328),SUM($E313:Z313)/Z198,0)</f>
        <v>0</v>
      </c>
      <c r="AB328" s="14">
        <f>IF(SUM($E313:AA313)&gt;SUM($E328:AA328),SUM($E313:AA313)/AA198,0)</f>
        <v>0</v>
      </c>
      <c r="AC328" s="14">
        <f>IF(SUM($E313:AB313)&gt;SUM($E328:AB328),SUM($E313:AB313)/AB198,0)</f>
        <v>0</v>
      </c>
      <c r="AD328" s="14">
        <f>IF(SUM($E313:AC313)&gt;SUM($E328:AC328),SUM($E313:AC313)/AC198,0)</f>
        <v>0</v>
      </c>
      <c r="AE328" s="14">
        <f>IF(SUM($E313:AD313)&gt;SUM($E328:AD328),SUM($E313:AD313)/AD198,0)</f>
        <v>0</v>
      </c>
    </row>
    <row r="329" spans="2:31" ht="18.75" hidden="1" x14ac:dyDescent="0.3">
      <c r="B329" t="s">
        <v>283</v>
      </c>
      <c r="C329" s="328" t="s">
        <v>283</v>
      </c>
      <c r="D329" s="335"/>
      <c r="E329" s="367"/>
      <c r="F329" s="20"/>
      <c r="G329" s="20"/>
      <c r="H329" s="336"/>
      <c r="I329" s="20"/>
      <c r="J329" s="20"/>
      <c r="K329" s="21"/>
      <c r="L329" s="20"/>
      <c r="M329" s="20"/>
      <c r="N329" s="20"/>
      <c r="O329" s="20"/>
    </row>
    <row r="330" spans="2:31" hidden="1" x14ac:dyDescent="0.25">
      <c r="B330" t="s">
        <v>283</v>
      </c>
      <c r="C330" s="157" t="s">
        <v>200</v>
      </c>
      <c r="D330" s="329" t="s">
        <v>342</v>
      </c>
      <c r="E330" s="371">
        <f>IFERROR(E315/D207,0)</f>
        <v>0</v>
      </c>
      <c r="F330" s="14">
        <f>IF(SUM($E315:E315)&gt;SUM($E330:E330),SUM($E315:E315)/E207,0)</f>
        <v>0</v>
      </c>
      <c r="G330" s="14">
        <f>IF(SUM($E315:F315)&gt;SUM($E330:F330),SUM($E315:F315)/F207,0)</f>
        <v>0</v>
      </c>
      <c r="H330" s="14">
        <f>IF(SUM($E315:G315)&gt;SUM($E330:G330),SUM($E315:G315)/G207,0)</f>
        <v>0</v>
      </c>
      <c r="I330" s="14">
        <f>IF(SUM($E315:H315)&gt;SUM($E330:H330),SUM($E315:H315)/H207,0)</f>
        <v>0</v>
      </c>
      <c r="J330" s="14">
        <f>IF(SUM($E315:I315)&gt;SUM($E330:I330),SUM($E315:I315)/I207,0)</f>
        <v>0</v>
      </c>
      <c r="K330" s="14">
        <f>IF(SUM($E315:J315)&gt;SUM($E330:J330),SUM($E315:J315)/J207,0)</f>
        <v>0</v>
      </c>
      <c r="L330" s="14">
        <f>IF(SUM($E315:K315)&gt;SUM($E330:K330),SUM($E315:K315)/K207,0)</f>
        <v>0</v>
      </c>
      <c r="M330" s="14">
        <f>IF(SUM($E315:L315)&gt;SUM($E330:L330),SUM($E315:L315)/L207,0)</f>
        <v>0</v>
      </c>
      <c r="N330" s="14">
        <f>IF(SUM($E315:M315)&gt;SUM($E330:M330),SUM($E315:M315)/M207,0)</f>
        <v>0</v>
      </c>
      <c r="O330" s="14">
        <f>IF(SUM($E315:N315)&gt;SUM($E330:N330),SUM($E315:N315)/N207,0)</f>
        <v>0</v>
      </c>
      <c r="P330" s="14">
        <f>IF(SUM($E315:O315)&gt;SUM($E330:O330),SUM($E315:O315)/O207,0)</f>
        <v>0</v>
      </c>
      <c r="Q330" s="14">
        <f>IF(SUM($E315:P315)&gt;SUM($E330:P330),SUM($E315:P315)/P207,0)</f>
        <v>0</v>
      </c>
      <c r="R330" s="14">
        <f>IF(SUM($E315:Q315)&gt;SUM($E330:Q330),SUM($E315:Q315)/Q207,0)</f>
        <v>0</v>
      </c>
      <c r="S330" s="14">
        <f>IF(SUM($E315:R315)&gt;SUM($E330:R330),SUM($E315:R315)/R207,0)</f>
        <v>0</v>
      </c>
      <c r="T330" s="14">
        <f>IF(SUM($E315:S315)&gt;SUM($E330:S330),SUM($E315:S315)/S207,0)</f>
        <v>0</v>
      </c>
      <c r="U330" s="14">
        <f>IF(SUM($E315:T315)&gt;SUM($E330:T330),SUM($E315:T315)/T207,0)</f>
        <v>0</v>
      </c>
      <c r="V330" s="14">
        <f>IF(SUM($E315:U315)&gt;SUM($E330:U330),SUM($E315:U315)/U207,0)</f>
        <v>0</v>
      </c>
      <c r="W330" s="14">
        <f>IF(SUM($E315:V315)&gt;SUM($E330:V330),SUM($E315:V315)/V207,0)</f>
        <v>0</v>
      </c>
      <c r="X330" s="14">
        <f>IF(SUM($E315:W315)&gt;SUM($E330:W330),SUM($E315:W315)/W207,0)</f>
        <v>0</v>
      </c>
      <c r="Y330" s="14">
        <f>IF(SUM($E315:X315)&gt;SUM($E330:X330),SUM($E315:X315)/X207,0)</f>
        <v>0</v>
      </c>
      <c r="Z330" s="14">
        <f>IF(SUM($E315:Y315)&gt;SUM($E330:Y330),SUM($E315:Y315)/Y207,0)</f>
        <v>0</v>
      </c>
      <c r="AA330" s="14">
        <f>IF(SUM($E315:Z315)&gt;SUM($E330:Z330),SUM($E315:Z315)/Z207,0)</f>
        <v>0</v>
      </c>
      <c r="AB330" s="14">
        <f>IF(SUM($E315:AA315)&gt;SUM($E330:AA330),SUM($E315:AA315)/AA207,0)</f>
        <v>0</v>
      </c>
      <c r="AC330" s="14">
        <f>IF(SUM($E315:AB315)&gt;SUM($E330:AB330),SUM($E315:AB315)/AB207,0)</f>
        <v>0</v>
      </c>
      <c r="AD330" s="14">
        <f>IF(SUM($E315:AC315)&gt;SUM($E330:AC330),SUM($E315:AC315)/AC207,0)</f>
        <v>0</v>
      </c>
      <c r="AE330" s="14">
        <f>IF(SUM($E315:AD315)&gt;SUM($E330:AD330),SUM($E315:AD315)/AD207,0)</f>
        <v>0</v>
      </c>
    </row>
    <row r="331" spans="2:31" ht="18.75" hidden="1" x14ac:dyDescent="0.3">
      <c r="B331" t="s">
        <v>265</v>
      </c>
      <c r="C331" s="328" t="s">
        <v>265</v>
      </c>
      <c r="D331" s="335"/>
      <c r="E331" s="367"/>
      <c r="F331" s="20"/>
      <c r="G331" s="20"/>
      <c r="H331" s="336"/>
      <c r="I331" s="20"/>
      <c r="J331" s="20"/>
      <c r="K331" s="21"/>
      <c r="L331" s="20"/>
      <c r="M331" s="20"/>
      <c r="N331" s="20"/>
      <c r="O331" s="20"/>
    </row>
    <row r="332" spans="2:31" hidden="1" x14ac:dyDescent="0.25">
      <c r="B332" t="s">
        <v>265</v>
      </c>
      <c r="C332" s="157" t="s">
        <v>200</v>
      </c>
      <c r="D332" s="329" t="s">
        <v>342</v>
      </c>
      <c r="E332" s="371">
        <f>IFERROR(E317/D217,0)</f>
        <v>0</v>
      </c>
      <c r="F332" s="14">
        <f>IF(SUM($E317:E317)&gt;SUM($E332:E332),SUM($E317:E317)/E217,0)</f>
        <v>0</v>
      </c>
      <c r="G332" s="14">
        <f>IF(SUM($E317:F317)&gt;SUM($E332:F332),SUM($E317:F317)/F217,0)</f>
        <v>0</v>
      </c>
      <c r="H332" s="14">
        <f>IF(SUM($E317:G317)&gt;SUM($E332:G332),SUM($E317:G317)/G217,0)</f>
        <v>0</v>
      </c>
      <c r="I332" s="14">
        <f>IF(SUM($E317:H317)&gt;SUM($E332:H332),SUM($E317:H317)/H217,0)</f>
        <v>0</v>
      </c>
      <c r="J332" s="14">
        <f>IF(SUM($E317:I317)&gt;SUM($E332:I332),SUM($E317:I317)/I217,0)</f>
        <v>0</v>
      </c>
      <c r="K332" s="14">
        <f>IF(SUM($E317:J317)&gt;SUM($E332:J332),SUM($E317:J317)/J217,0)</f>
        <v>0</v>
      </c>
      <c r="L332" s="14">
        <f>IF(SUM($E317:K317)&gt;SUM($E332:K332),SUM($E317:K317)/K217,0)</f>
        <v>0</v>
      </c>
      <c r="M332" s="14">
        <f>IF(SUM($E317:L317)&gt;SUM($E332:L332),SUM($E317:L317)/L217,0)</f>
        <v>0</v>
      </c>
      <c r="N332" s="14">
        <f>IF(SUM($E317:M317)&gt;SUM($E332:M332),SUM($E317:M317)/M217,0)</f>
        <v>0</v>
      </c>
      <c r="O332" s="14">
        <f>IF(SUM($E317:N317)&gt;SUM($E332:N332),SUM($E317:N317)/N217,0)</f>
        <v>0</v>
      </c>
      <c r="P332" s="14">
        <f>IF(SUM($E317:O317)&gt;SUM($E332:O332),SUM($E317:O317)/O217,0)</f>
        <v>0</v>
      </c>
      <c r="Q332" s="14">
        <f>IF(SUM($E317:P317)&gt;SUM($E332:P332),SUM($E317:P317)/P217,0)</f>
        <v>0</v>
      </c>
      <c r="R332" s="14">
        <f>IF(SUM($E317:Q317)&gt;SUM($E332:Q332),SUM($E317:Q317)/Q217,0)</f>
        <v>0</v>
      </c>
      <c r="S332" s="14">
        <f>IF(SUM($E317:R317)&gt;SUM($E332:R332),SUM($E317:R317)/R217,0)</f>
        <v>0</v>
      </c>
      <c r="T332" s="14">
        <f>IF(SUM($E317:S317)&gt;SUM($E332:S332),SUM($E317:S317)/S217,0)</f>
        <v>0</v>
      </c>
      <c r="U332" s="14">
        <f>IF(SUM($E317:T317)&gt;SUM($E332:T332),SUM($E317:T317)/T217,0)</f>
        <v>0</v>
      </c>
      <c r="V332" s="14">
        <f>IF(SUM($E317:U317)&gt;SUM($E332:U332),SUM($E317:U317)/U217,0)</f>
        <v>0</v>
      </c>
      <c r="W332" s="14">
        <f>IF(SUM($E317:V317)&gt;SUM($E332:V332),SUM($E317:V317)/V217,0)</f>
        <v>0</v>
      </c>
      <c r="X332" s="14">
        <f>IF(SUM($E317:W317)&gt;SUM($E332:W332),SUM($E317:W317)/W217,0)</f>
        <v>0</v>
      </c>
      <c r="Y332" s="14">
        <f>IF(SUM($E317:X317)&gt;SUM($E332:X332),SUM($E317:X317)/X217,0)</f>
        <v>0</v>
      </c>
      <c r="Z332" s="14">
        <f>IF(SUM($E317:Y317)&gt;SUM($E332:Y332),SUM($E317:Y317)/Y217,0)</f>
        <v>0</v>
      </c>
      <c r="AA332" s="14">
        <f>IF(SUM($E317:Z317)&gt;SUM($E332:Z332),SUM($E317:Z317)/Z217,0)</f>
        <v>0</v>
      </c>
      <c r="AB332" s="14">
        <f>IF(SUM($E317:AA317)&gt;SUM($E332:AA332),SUM($E317:AA317)/AA217,0)</f>
        <v>0</v>
      </c>
      <c r="AC332" s="14">
        <f>IF(SUM($E317:AB317)&gt;SUM($E332:AB332),SUM($E317:AB317)/AB217,0)</f>
        <v>0</v>
      </c>
      <c r="AD332" s="14">
        <f>IF(SUM($E317:AC317)&gt;SUM($E332:AC332),SUM($E317:AC317)/AC217,0)</f>
        <v>0</v>
      </c>
      <c r="AE332" s="14">
        <f>IF(SUM($E317:AD317)&gt;SUM($E332:AD332),SUM($E317:AD317)/AD217,0)</f>
        <v>0</v>
      </c>
    </row>
    <row r="333" spans="2:31" ht="18.75" hidden="1" x14ac:dyDescent="0.3">
      <c r="B333" t="s">
        <v>278</v>
      </c>
      <c r="C333" s="328" t="s">
        <v>278</v>
      </c>
      <c r="D333" s="335"/>
      <c r="E333" s="367"/>
      <c r="F333" s="20"/>
      <c r="G333" s="20"/>
      <c r="H333" s="336"/>
      <c r="I333" s="20"/>
      <c r="J333" s="20"/>
      <c r="K333" s="21"/>
      <c r="L333" s="20"/>
      <c r="M333" s="20"/>
      <c r="N333" s="20"/>
      <c r="O333" s="20"/>
    </row>
    <row r="334" spans="2:31" hidden="1" x14ac:dyDescent="0.25">
      <c r="B334" t="s">
        <v>278</v>
      </c>
      <c r="C334" s="157" t="s">
        <v>200</v>
      </c>
      <c r="D334" s="329" t="s">
        <v>342</v>
      </c>
      <c r="E334" s="371">
        <f>IFERROR(E319/D226,0)</f>
        <v>0</v>
      </c>
      <c r="F334" s="14">
        <f>IF(SUM($E319:E319)&gt;SUM($E334:E334),SUM($E319:E319)/E226,0)</f>
        <v>0</v>
      </c>
      <c r="G334" s="14">
        <f>IF(SUM($E319:F319)&gt;SUM($E334:F334),SUM($E319:F319)/F226,0)</f>
        <v>0</v>
      </c>
      <c r="H334" s="14">
        <f>IF(SUM($E319:G319)&gt;SUM($E334:G334),SUM($E319:G319)/G226,0)</f>
        <v>0</v>
      </c>
      <c r="I334" s="14">
        <f>IF(SUM($E319:H319)&gt;SUM($E334:H334),SUM($E319:H319)/H226,0)</f>
        <v>0</v>
      </c>
      <c r="J334" s="14">
        <f>IF(SUM($E319:I319)&gt;SUM($E334:I334),SUM($E319:I319)/I226,0)</f>
        <v>0</v>
      </c>
      <c r="K334" s="14">
        <f>IF(SUM($E319:J319)&gt;SUM($E334:J334),SUM($E319:J319)/J226,0)</f>
        <v>0</v>
      </c>
      <c r="L334" s="14">
        <f>IF(SUM($E319:K319)&gt;SUM($E334:K334),SUM($E319:K319)/K226,0)</f>
        <v>0</v>
      </c>
      <c r="M334" s="14">
        <f>IF(SUM($E319:L319)&gt;SUM($E334:L334),SUM($E319:L319)/L226,0)</f>
        <v>0</v>
      </c>
      <c r="N334" s="14">
        <f>IF(SUM($E319:M319)&gt;SUM($E334:M334),SUM($E319:M319)/M226,0)</f>
        <v>0</v>
      </c>
      <c r="O334" s="14">
        <f>IF(SUM($E319:N319)&gt;SUM($E334:N334),SUM($E319:N319)/N226,0)</f>
        <v>0</v>
      </c>
      <c r="P334" s="14">
        <f>IF(SUM($E319:O319)&gt;SUM($E334:O334),SUM($E319:O319)/O226,0)</f>
        <v>0</v>
      </c>
      <c r="Q334" s="14">
        <f>IF(SUM($E319:P319)&gt;SUM($E334:P334),SUM($E319:P319)/P226,0)</f>
        <v>0</v>
      </c>
      <c r="R334" s="14">
        <f>IF(SUM($E319:Q319)&gt;SUM($E334:Q334),SUM($E319:Q319)/Q226,0)</f>
        <v>0</v>
      </c>
      <c r="S334" s="14">
        <f>IF(SUM($E319:R319)&gt;SUM($E334:R334),SUM($E319:R319)/R226,0)</f>
        <v>0</v>
      </c>
      <c r="T334" s="14">
        <f>IF(SUM($E319:S319)&gt;SUM($E334:S334),SUM($E319:S319)/S226,0)</f>
        <v>0</v>
      </c>
      <c r="U334" s="14">
        <f>IF(SUM($E319:T319)&gt;SUM($E334:T334),SUM($E319:T319)/T226,0)</f>
        <v>0</v>
      </c>
      <c r="V334" s="14">
        <f>IF(SUM($E319:U319)&gt;SUM($E334:U334),SUM($E319:U319)/U226,0)</f>
        <v>0</v>
      </c>
      <c r="W334" s="14">
        <f>IF(SUM($E319:V319)&gt;SUM($E334:V334),SUM($E319:V319)/V226,0)</f>
        <v>0</v>
      </c>
      <c r="X334" s="14">
        <f>IF(SUM($E319:W319)&gt;SUM($E334:W334),SUM($E319:W319)/W226,0)</f>
        <v>0</v>
      </c>
      <c r="Y334" s="14">
        <f>IF(SUM($E319:X319)&gt;SUM($E334:X334),SUM($E319:X319)/X226,0)</f>
        <v>0</v>
      </c>
      <c r="Z334" s="14">
        <f>IF(SUM($E319:Y319)&gt;SUM($E334:Y334),SUM($E319:Y319)/Y226,0)</f>
        <v>0</v>
      </c>
      <c r="AA334" s="14">
        <f>IF(SUM($E319:Z319)&gt;SUM($E334:Z334),SUM($E319:Z319)/Z226,0)</f>
        <v>0</v>
      </c>
      <c r="AB334" s="14">
        <f>IF(SUM($E319:AA319)&gt;SUM($E334:AA334),SUM($E319:AA319)/AA226,0)</f>
        <v>0</v>
      </c>
      <c r="AC334" s="14">
        <f>IF(SUM($E319:AB319)&gt;SUM($E334:AB334),SUM($E319:AB319)/AB226,0)</f>
        <v>0</v>
      </c>
      <c r="AD334" s="14">
        <f>IF(SUM($E319:AC319)&gt;SUM($E334:AC334),SUM($E319:AC319)/AC226,0)</f>
        <v>0</v>
      </c>
      <c r="AE334" s="14">
        <f>IF(SUM($E319:AD319)&gt;SUM($E334:AD334),SUM($E319:AD319)/AD226,0)</f>
        <v>0</v>
      </c>
    </row>
    <row r="335" spans="2:31" ht="18.75" hidden="1" x14ac:dyDescent="0.3">
      <c r="B335" t="s">
        <v>296</v>
      </c>
      <c r="C335" s="328" t="s">
        <v>296</v>
      </c>
      <c r="D335" s="335"/>
      <c r="E335" s="367"/>
      <c r="F335" s="20"/>
      <c r="G335" s="20"/>
      <c r="H335" s="336"/>
      <c r="I335" s="20"/>
      <c r="J335" s="20"/>
      <c r="K335" s="21"/>
      <c r="L335" s="20"/>
      <c r="M335" s="20"/>
      <c r="N335" s="20"/>
      <c r="O335" s="20"/>
    </row>
    <row r="336" spans="2:31" hidden="1" x14ac:dyDescent="0.25">
      <c r="B336" t="s">
        <v>296</v>
      </c>
      <c r="C336" s="157" t="s">
        <v>200</v>
      </c>
      <c r="D336" s="329" t="s">
        <v>342</v>
      </c>
      <c r="E336" s="371">
        <f>IFERROR(E321/D236,0)</f>
        <v>0</v>
      </c>
      <c r="F336" s="14">
        <f>IF(SUM($E321:E321)&gt;SUM($E336:E336),SUM($E321:E321)/E236,0)</f>
        <v>0</v>
      </c>
      <c r="G336" s="14">
        <f>IF(SUM($E321:F321)&gt;SUM($E336:F336),SUM($E321:F321)/F236,0)</f>
        <v>0</v>
      </c>
      <c r="H336" s="14">
        <f>IF(SUM($E321:G321)&gt;SUM($E336:G336),SUM($E321:G321)/G236,0)</f>
        <v>0</v>
      </c>
      <c r="I336" s="14">
        <f>IF(SUM($E321:H321)&gt;SUM($E336:H336),SUM($E321:H321)/H236,0)</f>
        <v>0</v>
      </c>
      <c r="J336" s="14">
        <f>IF(SUM($E321:I321)&gt;SUM($E336:I336),SUM($E321:I321)/I236,0)</f>
        <v>0</v>
      </c>
      <c r="K336" s="14">
        <f>IF(SUM($E321:J321)&gt;SUM($E336:J336),SUM($E321:J321)/J236,0)</f>
        <v>0</v>
      </c>
      <c r="L336" s="14">
        <f>IF(SUM($E321:K321)&gt;SUM($E336:K336),SUM($E321:K321)/K236,0)</f>
        <v>0</v>
      </c>
      <c r="M336" s="14">
        <f>IF(SUM($E321:L321)&gt;SUM($E336:L336),SUM($E321:L321)/L236,0)</f>
        <v>0</v>
      </c>
      <c r="N336" s="14">
        <f>IF(SUM($E321:M321)&gt;SUM($E336:M336),SUM($E321:M321)/M236,0)</f>
        <v>0</v>
      </c>
      <c r="O336" s="14">
        <f>IF(SUM($E321:N321)&gt;SUM($E336:N336),SUM($E321:N321)/N236,0)</f>
        <v>0</v>
      </c>
      <c r="P336" s="14">
        <f>IF(SUM($E321:O321)&gt;SUM($E336:O336),SUM($E321:O321)/O236,0)</f>
        <v>0</v>
      </c>
      <c r="Q336" s="14">
        <f>IF(SUM($E321:P321)&gt;SUM($E336:P336),SUM($E321:P321)/P236,0)</f>
        <v>0</v>
      </c>
      <c r="R336" s="14">
        <f>IF(SUM($E321:Q321)&gt;SUM($E336:Q336),SUM($E321:Q321)/Q236,0)</f>
        <v>0</v>
      </c>
      <c r="S336" s="14">
        <f>IF(SUM($E321:R321)&gt;SUM($E336:R336),SUM($E321:R321)/R236,0)</f>
        <v>0</v>
      </c>
      <c r="T336" s="14">
        <f>IF(SUM($E321:S321)&gt;SUM($E336:S336),SUM($E321:S321)/S236,0)</f>
        <v>0</v>
      </c>
      <c r="U336" s="14">
        <f>IF(SUM($E321:T321)&gt;SUM($E336:T336),SUM($E321:T321)/T236,0)</f>
        <v>0</v>
      </c>
      <c r="V336" s="14">
        <f>IF(SUM($E321:U321)&gt;SUM($E336:U336),SUM($E321:U321)/U236,0)</f>
        <v>0</v>
      </c>
      <c r="W336" s="14">
        <f>IF(SUM($E321:V321)&gt;SUM($E336:V336),SUM($E321:V321)/V236,0)</f>
        <v>0</v>
      </c>
      <c r="X336" s="14">
        <f>IF(SUM($E321:W321)&gt;SUM($E336:W336),SUM($E321:W321)/W236,0)</f>
        <v>0</v>
      </c>
      <c r="Y336" s="14">
        <f>IF(SUM($E321:X321)&gt;SUM($E336:X336),SUM($E321:X321)/X236,0)</f>
        <v>0</v>
      </c>
      <c r="Z336" s="14">
        <f>IF(SUM($E321:Y321)&gt;SUM($E336:Y336),SUM($E321:Y321)/Y236,0)</f>
        <v>0</v>
      </c>
      <c r="AA336" s="14">
        <f>IF(SUM($E321:Z321)&gt;SUM($E336:Z336),SUM($E321:Z321)/Z236,0)</f>
        <v>0</v>
      </c>
      <c r="AB336" s="14">
        <f>IF(SUM($E321:AA321)&gt;SUM($E336:AA336),SUM($E321:AA321)/AA236,0)</f>
        <v>0</v>
      </c>
      <c r="AC336" s="14">
        <f>IF(SUM($E321:AB321)&gt;SUM($E336:AB336),SUM($E321:AB321)/AB236,0)</f>
        <v>0</v>
      </c>
      <c r="AD336" s="14">
        <f>IF(SUM($E321:AC321)&gt;SUM($E336:AC336),SUM($E321:AC321)/AC236,0)</f>
        <v>0</v>
      </c>
      <c r="AE336" s="14">
        <f>IF(SUM($E321:AD321)&gt;SUM($E336:AD336),SUM($E321:AD321)/AD236,0)</f>
        <v>0</v>
      </c>
    </row>
    <row r="337" spans="1:32" x14ac:dyDescent="0.25">
      <c r="C337" s="293" t="s">
        <v>341</v>
      </c>
      <c r="D337" s="329" t="s">
        <v>342</v>
      </c>
      <c r="E337" s="370">
        <f>IF($D$10="Yes",SUM(E326),0)+IF($F$10="Yes",SUM(E328),0)+IF($G$10="Yes",SUM(E330),0)+IF($H$10="Yes",SUM(E332),0)+IF($I$10="Yes",SUM(E334),0)+IF($J$10="Yes",SUM(E336),0)</f>
        <v>0</v>
      </c>
      <c r="F337" s="370">
        <f t="shared" ref="F337" si="64">IF($D$10="Yes",SUM(F326),0)+IF($F$10="Yes",SUM(F328),0)+IF($G$10="Yes",SUM(F330),0)+IF($H$10="Yes",SUM(F332),0)+IF($I$10="Yes",SUM(F334),0)+IF($J$10="Yes",SUM(F336),0)</f>
        <v>0</v>
      </c>
      <c r="G337" s="370">
        <f t="shared" ref="G337" si="65">IF($D$10="Yes",SUM(G326),0)+IF($F$10="Yes",SUM(G328),0)+IF($G$10="Yes",SUM(G330),0)+IF($H$10="Yes",SUM(G332),0)+IF($I$10="Yes",SUM(G334),0)+IF($J$10="Yes",SUM(G336),0)</f>
        <v>0</v>
      </c>
      <c r="H337" s="370">
        <f t="shared" ref="H337" si="66">IF($D$10="Yes",SUM(H326),0)+IF($F$10="Yes",SUM(H328),0)+IF($G$10="Yes",SUM(H330),0)+IF($H$10="Yes",SUM(H332),0)+IF($I$10="Yes",SUM(H334),0)+IF($J$10="Yes",SUM(H336),0)</f>
        <v>0</v>
      </c>
      <c r="I337" s="370">
        <f t="shared" ref="I337" si="67">IF($D$10="Yes",SUM(I326),0)+IF($F$10="Yes",SUM(I328),0)+IF($G$10="Yes",SUM(I330),0)+IF($H$10="Yes",SUM(I332),0)+IF($I$10="Yes",SUM(I334),0)+IF($J$10="Yes",SUM(I336),0)</f>
        <v>0</v>
      </c>
      <c r="J337" s="370">
        <f t="shared" ref="J337" si="68">IF($D$10="Yes",SUM(J326),0)+IF($F$10="Yes",SUM(J328),0)+IF($G$10="Yes",SUM(J330),0)+IF($H$10="Yes",SUM(J332),0)+IF($I$10="Yes",SUM(J334),0)+IF($J$10="Yes",SUM(J336),0)</f>
        <v>0</v>
      </c>
      <c r="K337" s="370">
        <f t="shared" ref="K337" si="69">IF($D$10="Yes",SUM(K326),0)+IF($F$10="Yes",SUM(K328),0)+IF($G$10="Yes",SUM(K330),0)+IF($H$10="Yes",SUM(K332),0)+IF($I$10="Yes",SUM(K334),0)+IF($J$10="Yes",SUM(K336),0)</f>
        <v>0</v>
      </c>
      <c r="L337" s="370">
        <f t="shared" ref="L337" si="70">IF($D$10="Yes",SUM(L326),0)+IF($F$10="Yes",SUM(L328),0)+IF($G$10="Yes",SUM(L330),0)+IF($H$10="Yes",SUM(L332),0)+IF($I$10="Yes",SUM(L334),0)+IF($J$10="Yes",SUM(L336),0)</f>
        <v>0</v>
      </c>
      <c r="M337" s="370">
        <f t="shared" ref="M337" si="71">IF($D$10="Yes",SUM(M326),0)+IF($F$10="Yes",SUM(M328),0)+IF($G$10="Yes",SUM(M330),0)+IF($H$10="Yes",SUM(M332),0)+IF($I$10="Yes",SUM(M334),0)+IF($J$10="Yes",SUM(M336),0)</f>
        <v>0</v>
      </c>
      <c r="N337" s="370">
        <f t="shared" ref="N337" si="72">IF($D$10="Yes",SUM(N326),0)+IF($F$10="Yes",SUM(N328),0)+IF($G$10="Yes",SUM(N330),0)+IF($H$10="Yes",SUM(N332),0)+IF($I$10="Yes",SUM(N334),0)+IF($J$10="Yes",SUM(N336),0)</f>
        <v>0</v>
      </c>
      <c r="O337" s="370">
        <f t="shared" ref="O337" si="73">IF($D$10="Yes",SUM(O326),0)+IF($F$10="Yes",SUM(O328),0)+IF($G$10="Yes",SUM(O330),0)+IF($H$10="Yes",SUM(O332),0)+IF($I$10="Yes",SUM(O334),0)+IF($J$10="Yes",SUM(O336),0)</f>
        <v>0</v>
      </c>
      <c r="P337" s="370">
        <f t="shared" ref="P337" si="74">IF($D$10="Yes",SUM(P326),0)+IF($F$10="Yes",SUM(P328),0)+IF($G$10="Yes",SUM(P330),0)+IF($H$10="Yes",SUM(P332),0)+IF($I$10="Yes",SUM(P334),0)+IF($J$10="Yes",SUM(P336),0)</f>
        <v>0</v>
      </c>
      <c r="Q337" s="370">
        <f t="shared" ref="Q337" si="75">IF($D$10="Yes",SUM(Q326),0)+IF($F$10="Yes",SUM(Q328),0)+IF($G$10="Yes",SUM(Q330),0)+IF($H$10="Yes",SUM(Q332),0)+IF($I$10="Yes",SUM(Q334),0)+IF($J$10="Yes",SUM(Q336),0)</f>
        <v>0</v>
      </c>
      <c r="R337" s="370">
        <f t="shared" ref="R337" si="76">IF($D$10="Yes",SUM(R326),0)+IF($F$10="Yes",SUM(R328),0)+IF($G$10="Yes",SUM(R330),0)+IF($H$10="Yes",SUM(R332),0)+IF($I$10="Yes",SUM(R334),0)+IF($J$10="Yes",SUM(R336),0)</f>
        <v>0</v>
      </c>
      <c r="S337" s="370">
        <f t="shared" ref="S337" si="77">IF($D$10="Yes",SUM(S326),0)+IF($F$10="Yes",SUM(S328),0)+IF($G$10="Yes",SUM(S330),0)+IF($H$10="Yes",SUM(S332),0)+IF($I$10="Yes",SUM(S334),0)+IF($J$10="Yes",SUM(S336),0)</f>
        <v>0</v>
      </c>
      <c r="T337" s="370">
        <f t="shared" ref="T337" si="78">IF($D$10="Yes",SUM(T326),0)+IF($F$10="Yes",SUM(T328),0)+IF($G$10="Yes",SUM(T330),0)+IF($H$10="Yes",SUM(T332),0)+IF($I$10="Yes",SUM(T334),0)+IF($J$10="Yes",SUM(T336),0)</f>
        <v>0</v>
      </c>
      <c r="U337" s="370">
        <f t="shared" ref="U337" si="79">IF($D$10="Yes",SUM(U326),0)+IF($F$10="Yes",SUM(U328),0)+IF($G$10="Yes",SUM(U330),0)+IF($H$10="Yes",SUM(U332),0)+IF($I$10="Yes",SUM(U334),0)+IF($J$10="Yes",SUM(U336),0)</f>
        <v>0</v>
      </c>
      <c r="V337" s="370">
        <f t="shared" ref="V337" si="80">IF($D$10="Yes",SUM(V326),0)+IF($F$10="Yes",SUM(V328),0)+IF($G$10="Yes",SUM(V330),0)+IF($H$10="Yes",SUM(V332),0)+IF($I$10="Yes",SUM(V334),0)+IF($J$10="Yes",SUM(V336),0)</f>
        <v>0</v>
      </c>
      <c r="W337" s="370">
        <f t="shared" ref="W337" si="81">IF($D$10="Yes",SUM(W326),0)+IF($F$10="Yes",SUM(W328),0)+IF($G$10="Yes",SUM(W330),0)+IF($H$10="Yes",SUM(W332),0)+IF($I$10="Yes",SUM(W334),0)+IF($J$10="Yes",SUM(W336),0)</f>
        <v>0</v>
      </c>
      <c r="X337" s="370">
        <f t="shared" ref="X337" si="82">IF($D$10="Yes",SUM(X326),0)+IF($F$10="Yes",SUM(X328),0)+IF($G$10="Yes",SUM(X330),0)+IF($H$10="Yes",SUM(X332),0)+IF($I$10="Yes",SUM(X334),0)+IF($J$10="Yes",SUM(X336),0)</f>
        <v>0</v>
      </c>
      <c r="Y337" s="370">
        <f t="shared" ref="Y337" si="83">IF($D$10="Yes",SUM(Y326),0)+IF($F$10="Yes",SUM(Y328),0)+IF($G$10="Yes",SUM(Y330),0)+IF($H$10="Yes",SUM(Y332),0)+IF($I$10="Yes",SUM(Y334),0)+IF($J$10="Yes",SUM(Y336),0)</f>
        <v>0</v>
      </c>
      <c r="Z337" s="370">
        <f t="shared" ref="Z337" si="84">IF($D$10="Yes",SUM(Z326),0)+IF($F$10="Yes",SUM(Z328),0)+IF($G$10="Yes",SUM(Z330),0)+IF($H$10="Yes",SUM(Z332),0)+IF($I$10="Yes",SUM(Z334),0)+IF($J$10="Yes",SUM(Z336),0)</f>
        <v>0</v>
      </c>
      <c r="AA337" s="370">
        <f t="shared" ref="AA337" si="85">IF($D$10="Yes",SUM(AA326),0)+IF($F$10="Yes",SUM(AA328),0)+IF($G$10="Yes",SUM(AA330),0)+IF($H$10="Yes",SUM(AA332),0)+IF($I$10="Yes",SUM(AA334),0)+IF($J$10="Yes",SUM(AA336),0)</f>
        <v>0</v>
      </c>
      <c r="AB337" s="370">
        <f t="shared" ref="AB337" si="86">IF($D$10="Yes",SUM(AB326),0)+IF($F$10="Yes",SUM(AB328),0)+IF($G$10="Yes",SUM(AB330),0)+IF($H$10="Yes",SUM(AB332),0)+IF($I$10="Yes",SUM(AB334),0)+IF($J$10="Yes",SUM(AB336),0)</f>
        <v>0</v>
      </c>
      <c r="AC337" s="370">
        <f t="shared" ref="AC337" si="87">IF($D$10="Yes",SUM(AC326),0)+IF($F$10="Yes",SUM(AC328),0)+IF($G$10="Yes",SUM(AC330),0)+IF($H$10="Yes",SUM(AC332),0)+IF($I$10="Yes",SUM(AC334),0)+IF($J$10="Yes",SUM(AC336),0)</f>
        <v>0</v>
      </c>
      <c r="AD337" s="370">
        <f t="shared" ref="AD337" si="88">IF($D$10="Yes",SUM(AD326),0)+IF($F$10="Yes",SUM(AD328),0)+IF($G$10="Yes",SUM(AD330),0)+IF($H$10="Yes",SUM(AD332),0)+IF($I$10="Yes",SUM(AD334),0)+IF($J$10="Yes",SUM(AD336),0)</f>
        <v>0</v>
      </c>
      <c r="AE337" s="370">
        <f t="shared" ref="AE337" si="89">IF($D$10="Yes",SUM(AE326),0)+IF($F$10="Yes",SUM(AE328),0)+IF($G$10="Yes",SUM(AE330),0)+IF($H$10="Yes",SUM(AE332),0)+IF($I$10="Yes",SUM(AE334),0)+IF($J$10="Yes",SUM(AE336),0)</f>
        <v>0</v>
      </c>
    </row>
    <row r="338" spans="1:32" ht="16.5" thickBot="1" x14ac:dyDescent="0.3">
      <c r="D338" s="338"/>
      <c r="E338" s="369"/>
      <c r="H338" s="339"/>
      <c r="K338" s="52"/>
    </row>
    <row r="339" spans="1:32" ht="23.25" x14ac:dyDescent="0.35">
      <c r="B339" s="276"/>
      <c r="C339" s="316" t="s">
        <v>266</v>
      </c>
      <c r="D339" s="351"/>
      <c r="E339" s="359"/>
      <c r="F339" s="317"/>
      <c r="G339" s="317"/>
      <c r="H339" s="318"/>
      <c r="I339" s="317"/>
      <c r="J339" s="317"/>
      <c r="K339" s="376"/>
      <c r="L339" s="317"/>
      <c r="M339" s="317"/>
      <c r="N339" s="317"/>
      <c r="O339" s="317"/>
      <c r="P339" s="317"/>
      <c r="Q339" s="317"/>
      <c r="R339" s="317"/>
      <c r="S339" s="317"/>
      <c r="T339" s="317"/>
      <c r="U339" s="317"/>
      <c r="V339" s="317"/>
      <c r="W339" s="317"/>
      <c r="X339" s="317"/>
      <c r="Y339" s="317"/>
      <c r="Z339" s="317"/>
      <c r="AA339" s="317"/>
      <c r="AB339" s="317"/>
      <c r="AC339" s="317"/>
      <c r="AD339" s="317"/>
      <c r="AE339" s="317"/>
    </row>
    <row r="340" spans="1:32" s="319" customFormat="1" ht="18.75" x14ac:dyDescent="0.3">
      <c r="B340" s="276"/>
      <c r="C340" s="276" t="s">
        <v>255</v>
      </c>
      <c r="D340" s="352"/>
      <c r="E340" s="360" t="s">
        <v>152</v>
      </c>
      <c r="F340" s="8"/>
      <c r="G340" s="8"/>
      <c r="H340" s="320" t="s">
        <v>153</v>
      </c>
      <c r="J340" s="8" t="s">
        <v>154</v>
      </c>
      <c r="K340" s="377"/>
      <c r="L340" s="8" t="s">
        <v>155</v>
      </c>
      <c r="P340" s="321"/>
      <c r="AF340" s="319" t="s">
        <v>156</v>
      </c>
    </row>
    <row r="341" spans="1:32" s="319" customFormat="1" ht="18.75" x14ac:dyDescent="0.3">
      <c r="C341" s="322"/>
      <c r="D341" s="353"/>
      <c r="E341" s="361">
        <v>2024</v>
      </c>
      <c r="F341" s="322">
        <v>2025</v>
      </c>
      <c r="G341" s="322">
        <v>2026</v>
      </c>
      <c r="H341" s="323">
        <v>2027</v>
      </c>
      <c r="I341" s="322">
        <v>2028</v>
      </c>
      <c r="J341" s="322">
        <v>2029</v>
      </c>
      <c r="K341" s="378">
        <v>2030</v>
      </c>
      <c r="L341" s="322">
        <v>2031</v>
      </c>
      <c r="M341" s="322">
        <v>2032</v>
      </c>
      <c r="N341" s="322">
        <v>2033</v>
      </c>
      <c r="O341" s="322">
        <v>2034</v>
      </c>
      <c r="P341" s="322"/>
      <c r="Q341" s="322"/>
      <c r="R341" s="322"/>
      <c r="S341" s="322"/>
      <c r="T341" s="322"/>
      <c r="U341" s="322"/>
      <c r="V341" s="322"/>
      <c r="W341" s="322"/>
      <c r="X341" s="322"/>
      <c r="Y341" s="322"/>
      <c r="Z341" s="322"/>
      <c r="AA341" s="322"/>
      <c r="AB341" s="322"/>
      <c r="AC341" s="322"/>
      <c r="AD341" s="322"/>
      <c r="AE341" s="322"/>
    </row>
    <row r="342" spans="1:32" ht="18.75" customHeight="1" x14ac:dyDescent="0.25">
      <c r="C342" s="3" t="s">
        <v>206</v>
      </c>
      <c r="D342" s="338" t="s">
        <v>73</v>
      </c>
      <c r="E342" s="365">
        <v>0</v>
      </c>
      <c r="F342" s="14">
        <v>0</v>
      </c>
      <c r="G342" s="14">
        <v>0</v>
      </c>
      <c r="H342" s="332">
        <v>0</v>
      </c>
      <c r="I342" s="14">
        <v>0</v>
      </c>
      <c r="J342" s="14">
        <v>0</v>
      </c>
      <c r="K342" s="15">
        <v>0</v>
      </c>
      <c r="L342" s="14">
        <v>0</v>
      </c>
      <c r="M342" s="14">
        <v>0</v>
      </c>
      <c r="N342" s="14">
        <v>0</v>
      </c>
      <c r="O342" s="14">
        <v>0</v>
      </c>
      <c r="AF342" t="s">
        <v>339</v>
      </c>
    </row>
    <row r="343" spans="1:32" x14ac:dyDescent="0.25">
      <c r="C343" t="s">
        <v>216</v>
      </c>
      <c r="D343" s="338" t="s">
        <v>73</v>
      </c>
      <c r="E343" s="374">
        <f>SUM('R&amp;D budget'!C66:N66)</f>
        <v>846862.41758241761</v>
      </c>
      <c r="F343" s="249">
        <f>SUM('R&amp;D budget'!O66:Z66)</f>
        <v>1206305.75</v>
      </c>
      <c r="G343" s="249">
        <f>SUM('R&amp;D budget'!AA66:AL66)</f>
        <v>2952070</v>
      </c>
      <c r="H343" s="354"/>
      <c r="I343" s="248"/>
      <c r="J343" s="248"/>
      <c r="K343" s="384"/>
      <c r="L343" s="248"/>
      <c r="M343" s="248"/>
      <c r="N343" s="248"/>
      <c r="O343" s="248"/>
    </row>
    <row r="344" spans="1:32" x14ac:dyDescent="0.25">
      <c r="C344" t="s">
        <v>217</v>
      </c>
      <c r="D344" s="338" t="s">
        <v>73</v>
      </c>
      <c r="E344" s="374">
        <f>SUM('R&amp;D budget'!C65:N65)</f>
        <v>3899725.2747252746</v>
      </c>
      <c r="F344" s="249">
        <f>SUM('R&amp;D budget'!O65:Z65)</f>
        <v>0</v>
      </c>
      <c r="G344" s="249">
        <f>SUM('R&amp;D budget'!AA65:AL65)</f>
        <v>10000000</v>
      </c>
      <c r="H344" s="355"/>
      <c r="I344" s="256">
        <v>20000000</v>
      </c>
      <c r="J344" s="257"/>
      <c r="K344" s="385"/>
      <c r="L344" s="257"/>
      <c r="M344" s="257"/>
      <c r="N344" s="257"/>
      <c r="O344" s="257"/>
    </row>
    <row r="345" spans="1:32" x14ac:dyDescent="0.25">
      <c r="C345" t="s">
        <v>218</v>
      </c>
      <c r="D345" s="338" t="s">
        <v>73</v>
      </c>
      <c r="E345" s="374"/>
      <c r="F345" s="248"/>
      <c r="G345" s="248"/>
      <c r="H345" s="356"/>
      <c r="I345" s="260"/>
      <c r="J345" s="14">
        <f>'Bank loan'!Q10</f>
        <v>453638.80786036979</v>
      </c>
      <c r="K345" s="15">
        <f>'Bank loan'!R10</f>
        <v>476320.74825338833</v>
      </c>
      <c r="L345" s="14">
        <f>'Bank loan'!S10</f>
        <v>500136.78566605772</v>
      </c>
      <c r="M345" s="14">
        <f>'Bank loan'!T10</f>
        <v>525143.62494936062</v>
      </c>
      <c r="N345" s="14">
        <f>'Bank loan'!U10</f>
        <v>551400.80619682861</v>
      </c>
      <c r="O345" s="14">
        <f>'Bank loan'!V10</f>
        <v>578970.84650667012</v>
      </c>
      <c r="P345" s="14">
        <f>'Bank loan'!W10</f>
        <v>607919.38883200358</v>
      </c>
      <c r="Q345" s="14">
        <f>'Bank loan'!X10</f>
        <v>638315.35827360372</v>
      </c>
      <c r="R345" s="14">
        <f>'Bank loan'!Y10</f>
        <v>670231.12618728389</v>
      </c>
      <c r="S345" s="14">
        <f>'Bank loan'!Z10</f>
        <v>703742.68249664805</v>
      </c>
      <c r="T345" s="14">
        <f>'Bank loan'!AA10</f>
        <v>738929.81662148051</v>
      </c>
      <c r="U345" s="14">
        <f>'Bank loan'!AB10</f>
        <v>775876.30745255458</v>
      </c>
      <c r="V345" s="14">
        <f>'Bank loan'!AC10</f>
        <v>814670.12282518228</v>
      </c>
      <c r="W345" s="14">
        <f>'Bank loan'!AD10</f>
        <v>855403.62896644138</v>
      </c>
      <c r="X345" s="14">
        <f>'Bank loan'!AE10</f>
        <v>898173.8104147634</v>
      </c>
      <c r="Y345" s="14">
        <f>'Bank loan'!AF10</f>
        <v>943082.50093550165</v>
      </c>
      <c r="Z345" s="14">
        <f>'Bank loan'!AG10</f>
        <v>990236.62598227663</v>
      </c>
      <c r="AA345" s="14">
        <f>'Bank loan'!AH10</f>
        <v>1039748.4572813904</v>
      </c>
      <c r="AB345" s="14">
        <f>'Bank loan'!AI10</f>
        <v>1091735.8801454601</v>
      </c>
      <c r="AC345" s="14">
        <f>'Bank loan'!AJ10</f>
        <v>1146322.6741527331</v>
      </c>
      <c r="AD345" s="14">
        <f>'Bank loan'!AK10</f>
        <v>0</v>
      </c>
      <c r="AE345" s="14">
        <f>'Bank loan'!AL10</f>
        <v>0</v>
      </c>
    </row>
    <row r="346" spans="1:32" x14ac:dyDescent="0.25">
      <c r="C346" t="s">
        <v>219</v>
      </c>
      <c r="D346" s="338" t="s">
        <v>73</v>
      </c>
      <c r="E346" s="374"/>
      <c r="F346" s="248"/>
      <c r="G346" s="248"/>
      <c r="H346" s="357">
        <v>15000000</v>
      </c>
      <c r="I346" s="306"/>
      <c r="J346" s="257"/>
      <c r="K346" s="385"/>
      <c r="L346" s="257"/>
      <c r="M346" s="257"/>
      <c r="N346" s="257"/>
      <c r="O346" s="257"/>
    </row>
    <row r="347" spans="1:32" x14ac:dyDescent="0.25">
      <c r="B347" t="s">
        <v>263</v>
      </c>
      <c r="C347" t="s">
        <v>328</v>
      </c>
      <c r="D347" s="338" t="s">
        <v>73</v>
      </c>
      <c r="E347" s="375">
        <v>0</v>
      </c>
      <c r="F347" s="237">
        <f>IF(COLUMN()&lt;=COLUMN($E$20)+20,$E$20*$E$24*$E$26,0)</f>
        <v>0</v>
      </c>
      <c r="G347" s="237">
        <f>IF(COLUMN()&lt;=COLUMN($E$20)+20,$E$20*$E$24*$E$26,0)+IF(COLUMN()&lt;COLUMN($F$20)+20,$F$20*$F$24*$F$26,0)</f>
        <v>0</v>
      </c>
      <c r="H347" s="358">
        <f>IF(COLUMN()&lt;=COLUMN($E$20)+20,$E$20*$E$24*$E$26,0)+IF(COLUMN()&lt;=COLUMN($F$20)+20,$F$20*$F$24*$F$26,0)+IF(COLUMN()&lt;=COLUMN($G$20)+20,$G$20*$G$24*$G$26,0)</f>
        <v>0</v>
      </c>
      <c r="I347" s="237">
        <f>IF(COLUMN()&lt;=COLUMN($E$20)+20,$E$20*$E$24*$E$26,0)+IF(COLUMN()&lt;=COLUMN($F$20)+20,$F$20*$F$24*$F$26,0)+IF(COLUMN()&lt;=COLUMN($G$20)+20,$G$20*$G$24*$G$26,0)+IF(COLUMN()&lt;=COLUMN($H$20)+20,$H$20*$H$24*$H$26,0)</f>
        <v>99750</v>
      </c>
      <c r="J347" s="237">
        <f>IF(COLUMN()&lt;=COLUMN($E$20)+20,$E$20*$E$24*$E$26,0)+IF(COLUMN()&lt;=COLUMN($F$20)+20,$F$20*$F$24*$F$26,0)+IF(COLUMN()&lt;=COLUMN($G$20)+20,$G$20*$G$24*$G$26,0)+IF(COLUMN()&lt;=COLUMN($H$20)+20,$H$20*$H$24*$H$26,0)+IF(COLUMN()&lt;=COLUMN($I$20)+20,$I$20*$I$24*$I$26,0)</f>
        <v>224778.75</v>
      </c>
      <c r="K347" s="386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</f>
        <v>224778.75</v>
      </c>
      <c r="L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</f>
        <v>224778.75</v>
      </c>
      <c r="M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</f>
        <v>224778.75</v>
      </c>
      <c r="N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</f>
        <v>224778.75</v>
      </c>
      <c r="O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</f>
        <v>224778.75</v>
      </c>
      <c r="P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</f>
        <v>224778.75</v>
      </c>
      <c r="Q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</f>
        <v>224778.75</v>
      </c>
      <c r="R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</f>
        <v>224778.75</v>
      </c>
      <c r="S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</f>
        <v>224778.75</v>
      </c>
      <c r="T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</f>
        <v>224778.75</v>
      </c>
      <c r="U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</f>
        <v>224778.75</v>
      </c>
      <c r="V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</f>
        <v>224778.75</v>
      </c>
      <c r="W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</f>
        <v>224778.75</v>
      </c>
      <c r="X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</f>
        <v>224778.75</v>
      </c>
      <c r="Y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</f>
        <v>224778.75</v>
      </c>
      <c r="Z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</f>
        <v>224778.75</v>
      </c>
      <c r="AA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
+IF(COLUMN()&lt;=COLUMN($Z$20)+20,$Z$20*$Z$24*$Z$26,0)</f>
        <v>224778.75</v>
      </c>
      <c r="AB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
+IF(COLUMN()&lt;=COLUMN($Z$20)+20,$Z$20*$Z$24*$Z$26,0)
+IF(COLUMN()&lt;=COLUMN($AA$20)+20,$AA$20*$AA$24*$AA$26,0)</f>
        <v>224778.75</v>
      </c>
      <c r="AC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
+IF(COLUMN()&lt;=COLUMN($Z$20)+20,$Z$20*$Z$24*$Z$26,0)
+IF(COLUMN()&lt;=COLUMN($AA$20)+20,$AA$20*$AA$24*$AA$26,0)
+IF(COLUMN()&lt;=COLUMN($AB$20)+20,$AB$20*$AB$24*$AB$26,0)</f>
        <v>125028.75</v>
      </c>
      <c r="AD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
+IF(COLUMN()&lt;=COLUMN($Z$20)+20,$Z$20*$Z$24*$Z$26,0)
+IF(COLUMN()&lt;=COLUMN($AA$20)+20,$AA$20*$AA$24*$AA$26,0)
+IF(COLUMN()&lt;=COLUMN($AB$20)+20,$AB$20*$AB$24*$AB$26,0)
+IF(COLUMN()&lt;=COLUMN($AC$20)+20,$AC$20*$AC$24*$AC$26,0)</f>
        <v>0</v>
      </c>
      <c r="AE347" s="237">
        <f>IF(COLUMN()&lt;=COLUMN($E$20)+20,$E$20*$E$24*$E$26,0)
+IF(COLUMN()&lt;=COLUMN($F$20)+20,$F$20*$F$24*$F$26,0)
+IF(COLUMN()&lt;=COLUMN($G$20)+20,$G$20*$G$24*$G$26,0)
+IF(COLUMN()&lt;=COLUMN($H$20)+20,$H$20*$H$24*$H$26,0)
+IF(COLUMN()&lt;=COLUMN($I$20)+20,$I$20*$I$24*$I$26,0)
+IF(COLUMN()&lt;=COLUMN($J$20)+20,$J$20*$J$24*$J$26,0)
+IF(COLUMN()&lt;=COLUMN($K$20)+20,$K$20*$K$24*$K$26,0)
+IF(COLUMN()&lt;=COLUMN($L$20)+20,$L$20*$L$24*$L$26,0)
+IF(COLUMN()&lt;=COLUMN($M$20)+20,$M$20*$M$24*$M$26,0)
+IF(COLUMN()&lt;=COLUMN($N$20)+20,$N$20*$N$24*$N$26,0)
+IF(COLUMN()&lt;=COLUMN($O$20)+20,$O$20*$O$24*$O$26,0)
+IF(COLUMN()&lt;=COLUMN($P$20)+20,$P$20*$P$24*$P$26,0)
+IF(COLUMN()&lt;=COLUMN($Q$20)+20,$Q$20*$Q$24*$Q$26,0)
+IF(COLUMN()&lt;=COLUMN($R$20)+20,$R$20*$R$24*$R$26,0)
+IF(COLUMN()&lt;=COLUMN($S$20)+20,$S$20*$S$24*$S$26,0)
+IF(COLUMN()&lt;=COLUMN($T$20)+20,$T$20*$T$24*$T$26,0)
+IF(COLUMN()&lt;=COLUMN($U$20)+20,$U$20*$U$24*$U$26,0)
+IF(COLUMN()&lt;=COLUMN($V$20)+20,$V$20*$V$24*$V$26,0)
+IF(COLUMN()&lt;=COLUMN($W$20)+20,$W$20*$W$24*$W$26,0)
+IF(COLUMN()&lt;=COLUMN($X$20)+20,$X$20*$X$24*$X$26,0)
+IF(COLUMN()&lt;=COLUMN($Y$20)+20,$Y$20*$Y$24*$Y$26,0)
+IF(COLUMN()&lt;=COLUMN($Z$20)+20,$Z$20*$Z$24*$Z$26,0)
+IF(COLUMN()&lt;=COLUMN($AA$20)+20,$AA$20*$AA$24*$AA$26,0)
+IF(COLUMN()&lt;=COLUMN($AB$20)+20,$AB$20*$AB$24*$AB$26,0)
+IF(COLUMN()&lt;=COLUMN($AC$20)+20,$AC$20*$AC$24*$AC$26,0)
+IF(COLUMN()&lt;=COLUMN($AD$20)+20,$AD$20*$AD$24*$AD$26,0)</f>
        <v>0</v>
      </c>
      <c r="AF347" s="237"/>
    </row>
    <row r="348" spans="1:32" x14ac:dyDescent="0.25">
      <c r="B348" t="s">
        <v>282</v>
      </c>
      <c r="C348" t="s">
        <v>329</v>
      </c>
      <c r="D348" s="338" t="s">
        <v>73</v>
      </c>
      <c r="E348" s="375">
        <f>IF(COLUMN()&lt;=COLUMN($E$36)+20,$E$36*$E$39*$E$41,0)</f>
        <v>0</v>
      </c>
      <c r="F348" s="237">
        <f>IF(COLUMN()&lt;=COLUMN($E$36)+20,$E$36*$E$39*$E$41,0)+IF(COLUMN()&lt;COLUMN($F$36)+20,$F$36*$F$39*$F$41,0)</f>
        <v>0</v>
      </c>
      <c r="G348" s="237">
        <f>IF(COLUMN()&lt;=COLUMN($E$36)+20,$E$36*$E$39*$E$41,0)+IF(COLUMN()&lt;=COLUMN($F$36)+20,$F$36*$F$39*$F$41,0)+IF(COLUMN()&lt;=COLUMN($G$36)+20,$G$36*$G$39*$G$41,0)</f>
        <v>0</v>
      </c>
      <c r="H348" s="358">
        <f>IF(COLUMN()&lt;=COLUMN($E$36)+20,$E$36*$E$39*$E$41,0)+IF(COLUMN()&lt;=COLUMN($F$36)+20,$F$36*$F$39*$F$41,0)+IF(COLUMN()&lt;=COLUMN($G$36)+20,$G$36*$G$39*$G$41,0)+IF(COLUMN()&lt;=COLUMN($H$36)+20,$H$36*$H$39*$H$41,0)</f>
        <v>0</v>
      </c>
      <c r="I348" s="237">
        <f>IF(COLUMN()&lt;=COLUMN($E$36)+20,$E$36*$E$39*$E$41,0)+IF(COLUMN()&lt;=COLUMN($F$36)+20,$F$36*$F$39*$F$41,0)+IF(COLUMN()&lt;=COLUMN($G$36)+20,$G$36*$G$39*$G$41,0)+IF(COLUMN()&lt;=COLUMN($H$36)+20,$H$36*$H$39*$H$41,0)+IF(COLUMN()&lt;=COLUMN($I$36)+20,$I$36*$I$39*$I$41,0)</f>
        <v>0</v>
      </c>
      <c r="J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</f>
        <v>0</v>
      </c>
      <c r="K348" s="386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</f>
        <v>0</v>
      </c>
      <c r="L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</f>
        <v>0</v>
      </c>
      <c r="M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</f>
        <v>0</v>
      </c>
      <c r="N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</f>
        <v>0</v>
      </c>
      <c r="O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</f>
        <v>0</v>
      </c>
      <c r="P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</f>
        <v>0</v>
      </c>
      <c r="Q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</f>
        <v>0</v>
      </c>
      <c r="R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</f>
        <v>0</v>
      </c>
      <c r="S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</f>
        <v>0</v>
      </c>
      <c r="T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</f>
        <v>0</v>
      </c>
      <c r="U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</f>
        <v>0</v>
      </c>
      <c r="V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</f>
        <v>0</v>
      </c>
      <c r="W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</f>
        <v>0</v>
      </c>
      <c r="X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</f>
        <v>0</v>
      </c>
      <c r="Y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</f>
        <v>0</v>
      </c>
      <c r="Z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</f>
        <v>0</v>
      </c>
      <c r="AA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
+IF(COLUMN()&lt;=COLUMN($AA$36)+20,$AA$36*$AA$39*$AA$41,0)</f>
        <v>0</v>
      </c>
      <c r="AB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
+IF(COLUMN()&lt;=COLUMN($AA$36)+20,$AA$36*$AA$39*$AA$41,0)
+IF(COLUMN()&lt;=COLUMN($AB$36)+20,$AB$36*$AB$39*$AB$41,0)</f>
        <v>0</v>
      </c>
      <c r="AC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
+IF(COLUMN()&lt;=COLUMN($AA$36)+20,$AA$36*$AA$39*$AA$41,0)
+IF(COLUMN()&lt;=COLUMN($AB$36)+20,$AB$36*$AB$39*$AB$41,0)
+IF(COLUMN()&lt;=COLUMN($AC$36)+20,$AC$36*$AC$39*$AC$41,0)</f>
        <v>0</v>
      </c>
      <c r="AD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
+IF(COLUMN()&lt;=COLUMN($AA$36)+20,$AA$36*$AA$39*$AA$41,0)
+IF(COLUMN()&lt;=COLUMN($AB$36)+20,$AB$36*$AB$39*$AB$41,0)
+IF(COLUMN()&lt;=COLUMN($AC$36)+20,$AC$36*$AC$39*$AC$41,0)
+IF(COLUMN()&lt;=COLUMN($AD$36)+20,$AD$36*$AD$39*$AD$41,0)</f>
        <v>0</v>
      </c>
      <c r="AE348" s="237">
        <f>IF(COLUMN()&lt;=COLUMN($E$36)+20,$E$36*$E$39*$E$41,0)
+IF(COLUMN()&lt;=COLUMN($F$36)+20,$F$36*$F$39*$F$41,0)
+IF(COLUMN()&lt;=COLUMN($G$36)+20,$G$36*$G$39*$G$41,0)
+IF(COLUMN()&lt;=COLUMN($H$36)+20,$H$36*$H$39*$H$41,0)
+IF(COLUMN()&lt;=COLUMN($I$36)+20,$I$36*$I$39*$I$41,0)
+IF(COLUMN()&lt;=COLUMN($J$36)+20,$J$36*$J$39*$J$41,0)
+IF(COLUMN()&lt;=COLUMN($K$36)+20,$K$36*$K$39*$K$41,0)
+IF(COLUMN()&lt;=COLUMN($L$36)+20,$L$36*$L$39*$L$41,0)
+IF(COLUMN()&lt;=COLUMN($M$36)+20,$M$36*$M$39*$M$41,0)
+IF(COLUMN()&lt;=COLUMN($N$36)+20,$N$36*$N$39*$N$41,0)
+IF(COLUMN()&lt;=COLUMN($O$36)+20,$O$36*$O$39*$O$41,0)
+IF(COLUMN()&lt;=COLUMN($P$36)+20,$P$36*$P$39*$P$41,0)
+IF(COLUMN()&lt;=COLUMN($Q$36)+20,$Q$36*$Q$39*$Q$41,0)
+IF(COLUMN()&lt;=COLUMN($R$36)+20,$R$36*$R$39*$R$41,0)
+IF(COLUMN()&lt;=COLUMN($S$36)+20,$S$36*$S$39*$S$41,0)
+IF(COLUMN()&lt;=COLUMN($T$36)+20,$T$36*$T$39*$T$41,0)
+IF(COLUMN()&lt;=COLUMN($U$36)+20,$U$36*$U$39*$U$41,0)
+IF(COLUMN()&lt;=COLUMN($V$36)+20,$V$36*$V$39*$V$41,0)
+IF(COLUMN()&lt;=COLUMN($W$36)+20,$W$36*$W$39*$W$41,0)
+IF(COLUMN()&lt;=COLUMN($X$36)+20,$X$36*$X$39*$X$41,0)
+IF(COLUMN()&lt;=COLUMN($Y$36)+20,$Y$36*$Y$39*$Y$41,0)
+IF(COLUMN()&lt;=COLUMN($Z$36)+20,$Z$36*$Z$39*$Z$41,0)
+IF(COLUMN()&lt;=COLUMN($AA$36)+20,$AA$36*$AA$39*$AA$41,0)
+IF(COLUMN()&lt;=COLUMN($AB$36)+20,$AB$36*$AB$39*$AB$41,0)
+IF(COLUMN()&lt;=COLUMN($AC$36)+20,$AC$36*$AC$39*$AC$41,0)
+IF(COLUMN()&lt;=COLUMN($AD$36)+20,$AD$36*$AD$39*$AD$41,0)
+IF(COLUMN()&lt;=COLUMN($AE$36)+20,$AE$36*$AE$39*$AE$41,0)</f>
        <v>0</v>
      </c>
    </row>
    <row r="349" spans="1:32" x14ac:dyDescent="0.25">
      <c r="B349" t="s">
        <v>283</v>
      </c>
      <c r="C349" t="s">
        <v>330</v>
      </c>
      <c r="D349" s="338" t="s">
        <v>73</v>
      </c>
      <c r="E349" s="375">
        <f>IF(COLUMN()&lt;=COLUMN($E$44)+20,$E$44*$E$48*$E$50,0)</f>
        <v>0</v>
      </c>
      <c r="F349" s="237">
        <f>IF(COLUMN()&lt;=COLUMN($E$44)+20,$E$44*$E$48*$E$50,0)+IF(COLUMN()&lt;COLUMN($F$44)+20,$F$44*$F$48*$F$50,0)</f>
        <v>0</v>
      </c>
      <c r="G349" s="237">
        <f>IF(COLUMN()&lt;=COLUMN($E$44)+20,$E$44*$E$48*$E$50,0)+IF(COLUMN()&lt;=COLUMN($F$44)+20,$F$44*$F$48*$F$50,0)+IF(COLUMN()&lt;=COLUMN($G$44)+20,$G$44*$G$48*$G$50,0)</f>
        <v>0</v>
      </c>
      <c r="H349" s="358">
        <f>IF(COLUMN()&lt;=COLUMN($E$44)+20,$E$44*$E$48*$E$50,0)+IF(COLUMN()&lt;=COLUMN($F$44)+20,$F$44*$F$48*$F$50,0)+IF(COLUMN()&lt;=COLUMN($G$44)+20,$G$44*$G$48*$G$50,0)+IF(COLUMN()&lt;=COLUMN($H$44)+20,$H$44*$H$48*$H$50,0)</f>
        <v>0</v>
      </c>
      <c r="I349" s="237">
        <f>IF(COLUMN()&lt;=COLUMN($E$44)+20,$E$44*$E$48*$E$50,0)+IF(COLUMN()&lt;=COLUMN($F$44)+20,$F$44*$F$48*$F$50,0)+IF(COLUMN()&lt;=COLUMN($G$44)+20,$G$44*$G$48*$G$50,0)+IF(COLUMN()&lt;=COLUMN($H$44)+20,$H$44*$H$48*$H$50,0)+IF(COLUMN()&lt;=COLUMN($I$44)+20,$I$44*$I$48*$I$50,0)</f>
        <v>0</v>
      </c>
      <c r="J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</f>
        <v>170820</v>
      </c>
      <c r="K349" s="386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</f>
        <v>444570</v>
      </c>
      <c r="L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</f>
        <v>882570</v>
      </c>
      <c r="M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</f>
        <v>1457445</v>
      </c>
      <c r="N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</f>
        <v>2258163.75</v>
      </c>
      <c r="O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</f>
        <v>3368493.75</v>
      </c>
      <c r="P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</f>
        <v>3368493.75</v>
      </c>
      <c r="Q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</f>
        <v>3368493.75</v>
      </c>
      <c r="R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</f>
        <v>3368493.75</v>
      </c>
      <c r="S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</f>
        <v>3368493.75</v>
      </c>
      <c r="T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</f>
        <v>3368493.75</v>
      </c>
      <c r="U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</f>
        <v>3368493.75</v>
      </c>
      <c r="V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</f>
        <v>3368493.75</v>
      </c>
      <c r="W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</f>
        <v>3368493.75</v>
      </c>
      <c r="X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</f>
        <v>3368493.75</v>
      </c>
      <c r="Y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</f>
        <v>3368493.75</v>
      </c>
      <c r="Z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</f>
        <v>3368493.75</v>
      </c>
      <c r="AA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
+IF(COLUMN()&lt;=COLUMN($AA$44)+20,$AA$44*$AA$48*$AA$50,0)</f>
        <v>3368493.75</v>
      </c>
      <c r="AB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
+IF(COLUMN()&lt;=COLUMN($AA$44)+20,$AA$44*$AA$48*$AA$50,0)
+IF(COLUMN()&lt;=COLUMN($AB$44)+20,$AB$44*$AB$48*$AB$50,0)</f>
        <v>3368493.75</v>
      </c>
      <c r="AC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
+IF(COLUMN()&lt;=COLUMN($AA$44)+20,$AA$44*$AA$48*$AA$50,0)
+IF(COLUMN()&lt;=COLUMN($AB$44)+20,$AB$44*$AB$48*$AB$50,0)
+IF(COLUMN()&lt;=COLUMN($AC$44)+20,$AC$44*$AC$48*$AC$50,0)</f>
        <v>3368493.75</v>
      </c>
      <c r="AD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
+IF(COLUMN()&lt;=COLUMN($AA$44)+20,$AA$44*$AA$48*$AA$50,0)
+IF(COLUMN()&lt;=COLUMN($AB$44)+20,$AB$44*$AB$48*$AB$50,0)
+IF(COLUMN()&lt;=COLUMN($AC$44)+20,$AC$44*$AC$48*$AC$50,0)
+IF(COLUMN()&lt;=COLUMN($AD$44)+20,$AD$44*$AD$48*$AD$50,0)</f>
        <v>3368493.75</v>
      </c>
      <c r="AE349" s="237">
        <f>IF(COLUMN()&lt;=COLUMN($E$44)+20,$E$44*$E$48*$E$50,0)
+IF(COLUMN()&lt;=COLUMN($F$44)+20,$F$44*$F$48*$F$50,0)
+IF(COLUMN()&lt;=COLUMN($G$44)+20,$G$44*$G$48*$G$50,0)
+IF(COLUMN()&lt;=COLUMN($H$44)+20,$H$44*$H$48*$H$50,0)
+IF(COLUMN()&lt;=COLUMN($I$44)+20,$I$44*$I$48*$I$50,0)
+IF(COLUMN()&lt;=COLUMN($J$44)+20,$J$44*$J$48*$J$50,0)
+IF(COLUMN()&lt;=COLUMN($K$44)+20,$K$44*$K$48*$K$50,0)
+IF(COLUMN()&lt;=COLUMN($L$44)+20,$L$44*$L$48*$L$50,0)
+IF(COLUMN()&lt;=COLUMN($M$44)+20,$M$44*$M$48*$M$50,0)
+IF(COLUMN()&lt;=COLUMN($N$44)+20,$N$44*$N$48*$N$50,0)
+IF(COLUMN()&lt;=COLUMN($O$44)+20,$O$44*$O$48*$O$50,0)
+IF(COLUMN()&lt;=COLUMN($P$44)+20,$P$44*$P$48*$P$50,0)
+IF(COLUMN()&lt;=COLUMN($Q$44)+20,$Q$44*$Q$48*$Q$50,0)
+IF(COLUMN()&lt;=COLUMN($R$44)+20,$R$44*$R$48*$R$50,0)
+IF(COLUMN()&lt;=COLUMN($S$44)+20,$S$44*$S$48*$S$50,0)
+IF(COLUMN()&lt;=COLUMN($T$44)+20,$T$44*$T$48*$T$50,0)
+IF(COLUMN()&lt;=COLUMN($U$44)+20,$U$44*$U$48*$U$50,0)
+IF(COLUMN()&lt;=COLUMN($V$44)+20,$V$44*$V$48*$V$50,0)
+IF(COLUMN()&lt;=COLUMN($W$44)+20,$W$44*$W$48*$W$50,0)
+IF(COLUMN()&lt;=COLUMN($X$44)+20,$X$44*$X$48*$X$50,0)
+IF(COLUMN()&lt;=COLUMN($Y$44)+20,$Y$44*$Y$48*$Y$50,0)
+IF(COLUMN()&lt;=COLUMN($Z$44)+20,$Z$44*$Z$48*$Z$50,0)
+IF(COLUMN()&lt;=COLUMN($AA$44)+20,$AA$44*$AA$48*$AA$50,0)
+IF(COLUMN()&lt;=COLUMN($AB$44)+20,$AB$44*$AB$48*$AB$50,0)
+IF(COLUMN()&lt;=COLUMN($AC$44)+20,$AC$44*$AC$48*$AC$50,0)
+IF(COLUMN()&lt;=COLUMN($AD$44)+20,$AD$44*$AD$48*$AD$50,0)
+IF(COLUMN()&lt;=COLUMN($AE$44)+20,$AE$44*$AE$48*$AE$50,0)</f>
        <v>3197673.75</v>
      </c>
    </row>
    <row r="350" spans="1:32" x14ac:dyDescent="0.25">
      <c r="B350" t="s">
        <v>265</v>
      </c>
      <c r="C350" t="s">
        <v>331</v>
      </c>
      <c r="D350" s="338" t="s">
        <v>73</v>
      </c>
      <c r="E350" s="375">
        <f>IF(COLUMN()&lt;=COLUMN($E$53)+20,$E$53*$E$58*$E$60,0)</f>
        <v>0</v>
      </c>
      <c r="F350" s="237">
        <f>IF(COLUMN()&lt;=COLUMN($E$53)+20,$E$53*$E$58*$E$60,0)+IF(COLUMN()&lt;COLUMN($F$53)+20,$F$53*$F$58*$F$60,0)</f>
        <v>0</v>
      </c>
      <c r="G350" s="237">
        <f>IF(COLUMN()&lt;=COLUMN($E$53)+20,$E$53*$E$58*$E$60,0)+IF(COLUMN()&lt;=COLUMN($F$53)+20,$F$53*$F$58*$F$60,0)+IF(COLUMN()&lt;=COLUMN($G$53)+20,$G$53*$G$58*$G$60,0)</f>
        <v>0</v>
      </c>
      <c r="H350" s="358">
        <f>IF(COLUMN()&lt;=COLUMN($E$53)+20,$E$53*$E$58*$E$60,0)+IF(COLUMN()&lt;=COLUMN($F$53)+20,$F$53*$F$58*$F$60,0)+IF(COLUMN()&lt;=COLUMN($G$53)+20,$G$53*$G$58*$G$60,0)+IF(COLUMN()&lt;=COLUMN($H$53)+20,$H$53*$H$58*$H$60,0)</f>
        <v>0</v>
      </c>
      <c r="I350" s="237">
        <f>IF(COLUMN()&lt;=COLUMN($E$53)+20,$E$53*$E$58*$E$60,0)+IF(COLUMN()&lt;=COLUMN($F$53)+20,$F$53*$F$58*$F$60,0)+IF(COLUMN()&lt;=COLUMN($G$53)+20,$G$53*$G$58*$G$60,0)+IF(COLUMN()&lt;=COLUMN($H$53)+20,$H$53*$H$58*$H$60,0)+IF(COLUMN()&lt;=COLUMN($I$53)+20,$I$53*$I$58*$I$60,0)</f>
        <v>0</v>
      </c>
      <c r="J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</f>
        <v>0</v>
      </c>
      <c r="K350" s="386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</f>
        <v>0</v>
      </c>
      <c r="L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</f>
        <v>0</v>
      </c>
      <c r="M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</f>
        <v>0</v>
      </c>
      <c r="N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</f>
        <v>0</v>
      </c>
      <c r="O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</f>
        <v>0</v>
      </c>
      <c r="P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</f>
        <v>0</v>
      </c>
      <c r="Q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</f>
        <v>0</v>
      </c>
      <c r="R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</f>
        <v>0</v>
      </c>
      <c r="S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</f>
        <v>0</v>
      </c>
      <c r="T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</f>
        <v>0</v>
      </c>
      <c r="U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</f>
        <v>0</v>
      </c>
      <c r="V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</f>
        <v>0</v>
      </c>
      <c r="W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</f>
        <v>0</v>
      </c>
      <c r="X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</f>
        <v>0</v>
      </c>
      <c r="Y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</f>
        <v>0</v>
      </c>
      <c r="Z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</f>
        <v>0</v>
      </c>
      <c r="AA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
+IF(COLUMN()&lt;=COLUMN($AA$53)+20,$AA$53*$AA$58*$AA$60,0)</f>
        <v>0</v>
      </c>
      <c r="AB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
+IF(COLUMN()&lt;=COLUMN($AA$53)+20,$AA$53*$AA$58*$AA$60,0)
+IF(COLUMN()&lt;=COLUMN($AB$53)+20,$AB$53*$AB$58*$AB$60,0)</f>
        <v>0</v>
      </c>
      <c r="AC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
+IF(COLUMN()&lt;=COLUMN($AA$53)+20,$AA$53*$AA$58*$AA$60,0)
+IF(COLUMN()&lt;=COLUMN($AB$53)+20,$AB$53*$AB$58*$AB$60,0)
+IF(COLUMN()&lt;=COLUMN($AC$53)+20,$AC$53*$AC$58*$AC$60,0)</f>
        <v>0</v>
      </c>
      <c r="AD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
+IF(COLUMN()&lt;=COLUMN($AA$53)+20,$AA$53*$AA$58*$AA$60,0)
+IF(COLUMN()&lt;=COLUMN($AB$53)+20,$AB$53*$AB$58*$AB$60,0)
+IF(COLUMN()&lt;=COLUMN($AC$53)+20,$AC$53*$AC$58*$AC$60,0)
+IF(COLUMN()&lt;=COLUMN($AD$53)+20,$AD$53*$AD$58*$AD$60,0)</f>
        <v>0</v>
      </c>
      <c r="AE350" s="237">
        <f>IF(COLUMN()&lt;=COLUMN($E$53)+20,$E$53*$E$58*$E$60,0)
+IF(COLUMN()&lt;=COLUMN($F$53)+20,$F$53*$F$58*$F$60,0)
+IF(COLUMN()&lt;=COLUMN($G$53)+20,$G$53*$G$58*$G$60,0)
+IF(COLUMN()&lt;=COLUMN($H$53)+20,$H$53*$H$58*$H$60,0)
+IF(COLUMN()&lt;=COLUMN($I$53)+20,$I$53*$I$58*$I$60,0)
+IF(COLUMN()&lt;=COLUMN($J$53)+20,$J$53*$J$58*$J$60,0)
+IF(COLUMN()&lt;=COLUMN($K$53)+20,$K$53*$K$58*$K$60,0)
+IF(COLUMN()&lt;=COLUMN($L$53)+20,$L$53*$L$58*$L$60,0)
+IF(COLUMN()&lt;=COLUMN($M$53)+20,$M$53*$M$58*$M$60,0)
+IF(COLUMN()&lt;=COLUMN($N$53)+20,$N$53*$N$58*$N$60,0)
+IF(COLUMN()&lt;=COLUMN($O$53)+20,$O$53*$O$58*$O$60,0)
+IF(COLUMN()&lt;=COLUMN($P$53)+20,$P$53*$P$58*$P$60,0)
+IF(COLUMN()&lt;=COLUMN($Q$53)+20,$Q$53*$Q$58*$Q$60,0)
+IF(COLUMN()&lt;=COLUMN($R$53)+20,$R$53*$R$58*$R$60,0)
+IF(COLUMN()&lt;=COLUMN($S$53)+20,$S$53*$S$58*$S$60,0)
+IF(COLUMN()&lt;=COLUMN($T$53)+20,$T$53*$T$58*$T$60,0)
+IF(COLUMN()&lt;=COLUMN($U$53)+20,$U$53*$U$58*$U$60,0)
+IF(COLUMN()&lt;=COLUMN($V$53)+20,$V$53*$V$58*$V$60,0)
+IF(COLUMN()&lt;=COLUMN($W$53)+20,$W$53*$W$58*$W$60,0)
+IF(COLUMN()&lt;=COLUMN($X$53)+20,$X$53*$X$58*$X$60,0)
+IF(COLUMN()&lt;=COLUMN($Y$53)+20,$Y$53*$Y$58*$Y$60,0)
+IF(COLUMN()&lt;=COLUMN($Z$53)+20,$Z$53*$Z$58*$Z$60,0)
+IF(COLUMN()&lt;=COLUMN($AA$53)+20,$AA$53*$AA$58*$AA$60,0)
+IF(COLUMN()&lt;=COLUMN($AB$53)+20,$AB$53*$AB$58*$AB$60,0)
+IF(COLUMN()&lt;=COLUMN($AC$53)+20,$AC$53*$AC$58*$AC$60,0)
+IF(COLUMN()&lt;=COLUMN($AD$53)+20,$AD$53*$AD$58*$AD$60,0)
+IF(COLUMN()&lt;=COLUMN($AE$53)+20,$AE$53*$AE$58*$AE$60,0)</f>
        <v>0</v>
      </c>
    </row>
    <row r="351" spans="1:32" x14ac:dyDescent="0.25">
      <c r="B351" t="s">
        <v>278</v>
      </c>
      <c r="C351" t="s">
        <v>314</v>
      </c>
      <c r="D351" s="338" t="s">
        <v>73</v>
      </c>
      <c r="E351" s="375">
        <f>IF(COLUMN()&lt;=COLUMN($E$63)+20,$E$63*$E$67*$E$69,0)</f>
        <v>0</v>
      </c>
      <c r="F351" s="237">
        <f>IF(COLUMN()&lt;=COLUMN($E$63)+20,$E$63*$E$67*$E$69,0)+IF(COLUMN()&lt;COLUMN($F$63)+20,$F$63*$F$67*$F$69,0)</f>
        <v>0</v>
      </c>
      <c r="G351" s="237">
        <f>IF(COLUMN()&lt;=COLUMN($E$63)+20,$E$63*$E$67*$E$69,0)+IF(COLUMN()&lt;=COLUMN($F$63)+20,$F$63*$F$67*$F$69,0)+IF(COLUMN()&lt;=COLUMN($G$63)+20,$G$63*$G$67*$G$69,0)</f>
        <v>0</v>
      </c>
      <c r="H351" s="358">
        <f>IF(COLUMN()&lt;=COLUMN($E$63)+20,$E$63*$E$67*$E$69,0)+IF(COLUMN()&lt;=COLUMN($F$63)+20,$F$63*$F$67*$F$69,0)+IF(COLUMN()&lt;=COLUMN($G$63)+20,$G$63*$G$67*$G$69,0)+IF(COLUMN()&lt;=COLUMN($H$63)+20,$H$63*$H$67*$H$69,0)</f>
        <v>0</v>
      </c>
      <c r="I351" s="237">
        <f>IF(COLUMN()&lt;=COLUMN($E$63)+20,$E$63*$E$67*$E$69,0)+IF(COLUMN()&lt;=COLUMN($F$63)+20,$F$63*$F$67*$F$69,0)+IF(COLUMN()&lt;=COLUMN($G$63)+20,$G$63*$G$67*$G$69,0)+IF(COLUMN()&lt;=COLUMN($H$63)+20,$H$63*$H$67*$H$69,0)+IF(COLUMN()&lt;=COLUMN($I$63)+20,$I$63*$I$67*$I$69,0)</f>
        <v>0</v>
      </c>
      <c r="J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</f>
        <v>0</v>
      </c>
      <c r="K351" s="386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</f>
        <v>0</v>
      </c>
      <c r="L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</f>
        <v>0</v>
      </c>
      <c r="M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</f>
        <v>0</v>
      </c>
      <c r="N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</f>
        <v>0</v>
      </c>
      <c r="O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</f>
        <v>0</v>
      </c>
      <c r="P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</f>
        <v>0</v>
      </c>
      <c r="Q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</f>
        <v>0</v>
      </c>
      <c r="R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</f>
        <v>0</v>
      </c>
      <c r="S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</f>
        <v>0</v>
      </c>
      <c r="T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</f>
        <v>0</v>
      </c>
      <c r="U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</f>
        <v>0</v>
      </c>
      <c r="V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</f>
        <v>0</v>
      </c>
      <c r="W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</f>
        <v>0</v>
      </c>
      <c r="X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</f>
        <v>0</v>
      </c>
      <c r="Y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</f>
        <v>0</v>
      </c>
      <c r="Z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</f>
        <v>0</v>
      </c>
      <c r="AA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
+IF(COLUMN()&lt;=COLUMN($AA$63)+20,$AA$63*$AA$67*$AA$69,0)</f>
        <v>0</v>
      </c>
      <c r="AB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
+IF(COLUMN()&lt;=COLUMN($AA$63)+20,$AA$63*$AA$67*$AA$69,0)
+IF(COLUMN()&lt;=COLUMN($AB$63)+20,$AB$63*$AB$67*$AB$69,0)</f>
        <v>0</v>
      </c>
      <c r="AC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
+IF(COLUMN()&lt;=COLUMN($AA$63)+20,$AA$63*$AA$67*$AA$69,0)
+IF(COLUMN()&lt;=COLUMN($AB$63)+20,$AB$63*$AB$67*$AB$69,0)
+IF(COLUMN()&lt;=COLUMN($AC$63)+20,$AC$63*$AC$67*$AC$69,0)</f>
        <v>0</v>
      </c>
      <c r="AD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
+IF(COLUMN()&lt;=COLUMN($AA$63)+20,$AA$63*$AA$67*$AA$69,0)
+IF(COLUMN()&lt;=COLUMN($AB$63)+20,$AB$63*$AB$67*$AB$69,0)
+IF(COLUMN()&lt;=COLUMN($AC$63)+20,$AC$63*$AC$67*$AC$69,0)
+IF(COLUMN()&lt;=COLUMN($AD$63)+20,$AD$63*$AD$67*$AD$69,0)</f>
        <v>0</v>
      </c>
      <c r="AE351" s="237">
        <f>IF(COLUMN()&lt;=COLUMN($E$63)+20,$E$63*$E$67*$E$69,0)
+IF(COLUMN()&lt;=COLUMN($F$63)+20,$F$63*$F$67*$F$69,0)
+IF(COLUMN()&lt;=COLUMN($G$63)+20,$G$63*$G$67*$G$69,0)
+IF(COLUMN()&lt;=COLUMN($H$63)+20,$H$63*$H$67*$H$69,0)
+IF(COLUMN()&lt;=COLUMN($I$63)+20,$I$63*$I$67*$I$69,0)
+IF(COLUMN()&lt;=COLUMN($J$63)+20,$J$63*$J$67*$J$69,0)
+IF(COLUMN()&lt;=COLUMN($K$63)+20,$K$63*$K$67*$K$69,0)
+IF(COLUMN()&lt;=COLUMN($L$63)+20,$L$63*$L$67*$L$69,0)
+IF(COLUMN()&lt;=COLUMN($M$63)+20,$M$63*$M$67*$M$69,0)
+IF(COLUMN()&lt;=COLUMN($N$63)+20,$N$63*$N$67*$N$69,0)
+IF(COLUMN()&lt;=COLUMN($O$63)+20,$O$63*$O$67*$O$69,0)
+IF(COLUMN()&lt;=COLUMN($P$63)+20,$P$63*$P$67*$P$69,0)
+IF(COLUMN()&lt;=COLUMN($Q$63)+20,$Q$63*$Q$67*$Q$69,0)
+IF(COLUMN()&lt;=COLUMN($R$63)+20,$R$63*$R$67*$R$69,0)
+IF(COLUMN()&lt;=COLUMN($S$63)+20,$S$63*$S$67*$S$69,0)
+IF(COLUMN()&lt;=COLUMN($T$63)+20,$T$63*$T$67*$T$69,0)
+IF(COLUMN()&lt;=COLUMN($U$63)+20,$U$63*$U$67*$U$69,0)
+IF(COLUMN()&lt;=COLUMN($V$63)+20,$V$63*$V$67*$V$69,0)
+IF(COLUMN()&lt;=COLUMN($W$63)+20,$W$63*$W$67*$W$69,0)
+IF(COLUMN()&lt;=COLUMN($X$63)+20,$X$63*$X$67*$X$69,0)
+IF(COLUMN()&lt;=COLUMN($Y$63)+20,$Y$63*$Y$67*$Y$69,0)
+IF(COLUMN()&lt;=COLUMN($Z$63)+20,$Z$63*$Z$67*$Z$69,0)
+IF(COLUMN()&lt;=COLUMN($AA$63)+20,$AA$63*$AA$67*$AA$69,0)
+IF(COLUMN()&lt;=COLUMN($AB$63)+20,$AB$63*$AB$67*$AB$69,0)
+IF(COLUMN()&lt;=COLUMN($AC$63)+20,$AC$63*$AC$67*$AC$69,0)
+IF(COLUMN()&lt;=COLUMN($AD$63)+20,$AD$63*$AD$67*$AD$69,0)
+IF(COLUMN()&lt;=COLUMN($AE$63)+20,$AE$63*$AE$67*$AE$69,0)</f>
        <v>0</v>
      </c>
    </row>
    <row r="352" spans="1:32" x14ac:dyDescent="0.25">
      <c r="B352" t="s">
        <v>296</v>
      </c>
      <c r="C352" t="s">
        <v>332</v>
      </c>
      <c r="D352" s="338" t="s">
        <v>73</v>
      </c>
      <c r="E352" s="375">
        <f>IF(COLUMN()&lt;=COLUMN($E$72)+20,$E$72*$E$77*$E$79,0)</f>
        <v>0</v>
      </c>
      <c r="F352" s="237">
        <f>IF(COLUMN()&lt;=COLUMN($E$72)+20,$E$72*$E$77*$E$79,0)+IF(COLUMN()&lt;COLUMN($F$72)+20,$F$72*$F$77*$F$79,0)</f>
        <v>0</v>
      </c>
      <c r="G352" s="237">
        <f>IF(COLUMN()&lt;=COLUMN($E$72)+20,$E$72*$E$77*$E$79,0)+IF(COLUMN()&lt;=COLUMN($F$72)+20,$F$72*$F$77*$F$79,0)+IF(COLUMN()&lt;=COLUMN($G$72)+20,$G$72*$G$77*$G$79,0)</f>
        <v>0</v>
      </c>
      <c r="H352" s="358">
        <f>IF(COLUMN()&lt;=COLUMN($E$72)+20,$E$72*$E$77*$E$79,0)+IF(COLUMN()&lt;=COLUMN($F$72)+20,$F$72*$F$77*$F$79,0)+IF(COLUMN()&lt;=COLUMN($G$72)+20,$G$72*$G$77*$G$79,0)+IF(COLUMN()&lt;=COLUMN($H$72)+20,$H$72*$H$77*$H$79,0)</f>
        <v>0</v>
      </c>
      <c r="I352" s="237">
        <f>IF(COLUMN()&lt;=COLUMN($E$72)+20,$E$72*$E$77*$E$79,0)+IF(COLUMN()&lt;=COLUMN($F$72)+20,$F$72*$F$77*$F$79,0)+IF(COLUMN()&lt;=COLUMN($G$72)+20,$G$72*$G$77*$G$79,0)+IF(COLUMN()&lt;=COLUMN($H$72)+20,$H$72*$H$77*$H$79,0)+IF(COLUMN()&lt;=COLUMN($I$72)+20,$I$72*$I$77*$I$79,0)</f>
        <v>0</v>
      </c>
      <c r="J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</f>
        <v>170820</v>
      </c>
      <c r="K352" s="386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</f>
        <v>444570</v>
      </c>
      <c r="L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</f>
        <v>882570</v>
      </c>
      <c r="M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</f>
        <v>1457445</v>
      </c>
      <c r="N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</f>
        <v>2258163.75</v>
      </c>
      <c r="O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</f>
        <v>3368493.75</v>
      </c>
      <c r="P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</f>
        <v>4754763.75</v>
      </c>
      <c r="Q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</f>
        <v>6055623.75</v>
      </c>
      <c r="R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</f>
        <v>7681698.75</v>
      </c>
      <c r="S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</f>
        <v>9711828.75</v>
      </c>
      <c r="T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</f>
        <v>12249491.25</v>
      </c>
      <c r="U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</f>
        <v>15422801.25</v>
      </c>
      <c r="V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</f>
        <v>18911471.25</v>
      </c>
      <c r="W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</f>
        <v>22749993.75</v>
      </c>
      <c r="X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</f>
        <v>26972861.25</v>
      </c>
      <c r="Y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</f>
        <v>31614566.25</v>
      </c>
      <c r="Z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</f>
        <v>36724383.75</v>
      </c>
      <c r="AA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
+IF(COLUMN()&lt;=COLUMN($AA$72)+20,$AA$72*$AA$77*$AA$79,0)</f>
        <v>42341733.75</v>
      </c>
      <c r="AB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
+IF(COLUMN()&lt;=COLUMN($AA$72)+20,$AA$72*$AA$77*$AA$79,0)
+IF(COLUMN()&lt;=COLUMN($AB$72)+20,$AB$72*$AB$77*$AB$79,0)</f>
        <v>48520818.75</v>
      </c>
      <c r="AC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
+IF(COLUMN()&lt;=COLUMN($AA$72)+20,$AA$72*$AA$77*$AA$79,0)
+IF(COLUMN()&lt;=COLUMN($AB$72)+20,$AB$72*$AB$77*$AB$79,0)
+IF(COLUMN()&lt;=COLUMN($AC$72)+20,$AC$72*$AC$77*$AC$79,0)</f>
        <v>55320768.75</v>
      </c>
      <c r="AD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
+IF(COLUMN()&lt;=COLUMN($AA$72)+20,$AA$72*$AA$77*$AA$79,0)
+IF(COLUMN()&lt;=COLUMN($AB$72)+20,$AB$72*$AB$77*$AB$79,0)
+IF(COLUMN()&lt;=COLUMN($AC$72)+20,$AC$72*$AC$77*$AC$79,0)
+IF(COLUMN()&lt;=COLUMN($AD$72)+20,$AD$72*$AD$77*$AD$79,0)</f>
        <v>62800713.75</v>
      </c>
      <c r="AE352" s="237">
        <f>IF(COLUMN()&lt;=COLUMN($E$72)+20,$E$72*$E$77*$E$79,0)
+IF(COLUMN()&lt;=COLUMN($F$72)+20,$F$72*$F$77*$F$79,0)
+IF(COLUMN()&lt;=COLUMN($G$72)+20,$G$72*$G$77*$G$79,0)
+IF(COLUMN()&lt;=COLUMN($H$72)+20,$H$72*$H$77*$H$79,0)
+IF(COLUMN()&lt;=COLUMN($I$72)+20,$I$72*$I$77*$I$79,0)
+IF(COLUMN()&lt;=COLUMN($J$72)+20,$J$72*$J$77*$J$79,0)
+IF(COLUMN()&lt;=COLUMN($K$72)+20,$K$72*$K$77*$K$79,0)
+IF(COLUMN()&lt;=COLUMN($L$72)+20,$L$72*$L$77*$L$79,0)
+IF(COLUMN()&lt;=COLUMN($M$72)+20,$M$72*$M$77*$M$79,0)
+IF(COLUMN()&lt;=COLUMN($N$72)+20,$N$72*$N$77*$N$79,0)
+IF(COLUMN()&lt;=COLUMN($O$72)+20,$O$72*$O$77*$O$79,0)
+IF(COLUMN()&lt;=COLUMN($P$72)+20,$P$72*$P$77*$P$79,0)
+IF(COLUMN()&lt;=COLUMN($Q$72)+20,$Q$72*$Q$77*$Q$79,0)
+IF(COLUMN()&lt;=COLUMN($R$72)+20,$R$72*$R$77*$R$79,0)
+IF(COLUMN()&lt;=COLUMN($S$72)+20,$S$72*$S$77*$S$79,0)
+IF(COLUMN()&lt;=COLUMN($T$72)+20,$T$72*$T$77*$T$79,0)
+IF(COLUMN()&lt;=COLUMN($U$72)+20,$U$72*$U$77*$U$79,0)
+IF(COLUMN()&lt;=COLUMN($V$72)+20,$V$72*$V$77*$V$79,0)
+IF(COLUMN()&lt;=COLUMN($W$72)+20,$W$72*$W$77*$W$79,0)
+IF(COLUMN()&lt;=COLUMN($X$72)+20,$X$72*$X$77*$X$79,0)
+IF(COLUMN()&lt;=COLUMN($Y$72)+20,$Y$72*$Y$77*$Y$79,0)
+IF(COLUMN()&lt;=COLUMN($Z$72)+20,$Z$72*$Z$77*$Z$79,0)
+IF(COLUMN()&lt;=COLUMN($AA$72)+20,$AA$72*$AA$77*$AA$79,0)
+IF(COLUMN()&lt;=COLUMN($AB$72)+20,$AB$72*$AB$77*$AB$79,0)
+IF(COLUMN()&lt;=COLUMN($AC$72)+20,$AC$72*$AC$77*$AC$79,0)
+IF(COLUMN()&lt;=COLUMN($AD$72)+20,$AD$72*$AD$77*$AD$79,0)
+IF(COLUMN()&lt;=COLUMN($AE$72)+20,$AE$72*$AE$77*$AE$79,0)</f>
        <v>70858818.75</v>
      </c>
    </row>
    <row r="353" spans="3:31" x14ac:dyDescent="0.25">
      <c r="C353" s="3" t="s">
        <v>324</v>
      </c>
      <c r="D353" s="338" t="s">
        <v>73</v>
      </c>
      <c r="E353" s="370">
        <f t="shared" ref="E353:AE353" si="90">IF($D$4="Yes",E347,0)+IF($F$4="Yes",E348,0)+IF($G$4="Yes",E349,0)+IF($H$4="Yes",E350,0)+IF($I$4="Yes",E351,0)+IF($J$4="Yes",E352,0)</f>
        <v>0</v>
      </c>
      <c r="F353" s="341">
        <f t="shared" si="90"/>
        <v>0</v>
      </c>
      <c r="G353" s="341">
        <f t="shared" si="90"/>
        <v>0</v>
      </c>
      <c r="H353" s="342">
        <f t="shared" si="90"/>
        <v>0</v>
      </c>
      <c r="I353" s="341">
        <f t="shared" si="90"/>
        <v>99750</v>
      </c>
      <c r="J353" s="341">
        <f t="shared" si="90"/>
        <v>566418.75</v>
      </c>
      <c r="K353" s="381">
        <f t="shared" si="90"/>
        <v>1113918.75</v>
      </c>
      <c r="L353" s="341">
        <f t="shared" si="90"/>
        <v>1989918.75</v>
      </c>
      <c r="M353" s="341">
        <f t="shared" si="90"/>
        <v>3139668.75</v>
      </c>
      <c r="N353" s="341">
        <f t="shared" si="90"/>
        <v>4741106.25</v>
      </c>
      <c r="O353" s="341">
        <f t="shared" si="90"/>
        <v>6961766.25</v>
      </c>
      <c r="P353" s="341">
        <f t="shared" si="90"/>
        <v>8348036.25</v>
      </c>
      <c r="Q353" s="341">
        <f t="shared" si="90"/>
        <v>9648896.25</v>
      </c>
      <c r="R353" s="341">
        <f t="shared" si="90"/>
        <v>11274971.25</v>
      </c>
      <c r="S353" s="341">
        <f t="shared" si="90"/>
        <v>13305101.25</v>
      </c>
      <c r="T353" s="341">
        <f t="shared" si="90"/>
        <v>15842763.75</v>
      </c>
      <c r="U353" s="341">
        <f t="shared" si="90"/>
        <v>19016073.75</v>
      </c>
      <c r="V353" s="341">
        <f t="shared" si="90"/>
        <v>22504743.75</v>
      </c>
      <c r="W353" s="341">
        <f t="shared" si="90"/>
        <v>26343266.25</v>
      </c>
      <c r="X353" s="341">
        <f t="shared" si="90"/>
        <v>30566133.75</v>
      </c>
      <c r="Y353" s="341">
        <f t="shared" si="90"/>
        <v>35207838.75</v>
      </c>
      <c r="Z353" s="341">
        <f t="shared" si="90"/>
        <v>40317656.25</v>
      </c>
      <c r="AA353" s="341">
        <f t="shared" si="90"/>
        <v>45935006.25</v>
      </c>
      <c r="AB353" s="341">
        <f t="shared" si="90"/>
        <v>52114091.25</v>
      </c>
      <c r="AC353" s="341">
        <f t="shared" si="90"/>
        <v>58814291.25</v>
      </c>
      <c r="AD353" s="341">
        <f t="shared" si="90"/>
        <v>66169207.5</v>
      </c>
      <c r="AE353" s="341">
        <f t="shared" si="90"/>
        <v>74056492.5</v>
      </c>
    </row>
  </sheetData>
  <conditionalFormatting sqref="B172:C172 B15:C15">
    <cfRule type="cellIs" dxfId="87" priority="198" operator="equal">
      <formula>"Parameters"</formula>
    </cfRule>
  </conditionalFormatting>
  <conditionalFormatting sqref="B36:B37 B33 B146 B148 B150 B152 B154:B156 B134:B135 B343:B346 B17:B28 B89:B91 B143:B144 B39:B61 B194:B195 B191 B313 B315 B317 B319 B301:B302 B248:B250 B310:B311 B199 B202:B209 B211:B219 B174:B185 B341 B277 B279 B169:B170 B107:B113 B158:B159 B115:B116 B161 B118:B119 B163 B121:B123 B165 B267:B269 B271:B275 B281 B283 B285 B287:B288 B336 B321:B326 B328 B330 B332">
    <cfRule type="cellIs" dxfId="86" priority="235" operator="equal">
      <formula>"Profit result"</formula>
    </cfRule>
  </conditionalFormatting>
  <conditionalFormatting sqref="B92:B93 B95">
    <cfRule type="cellIs" dxfId="85" priority="200" operator="equal">
      <formula>"Parameters"</formula>
    </cfRule>
  </conditionalFormatting>
  <conditionalFormatting sqref="B92:B93 B95 B97 B99">
    <cfRule type="cellIs" dxfId="84" priority="199" operator="equal">
      <formula>"Profit result"</formula>
    </cfRule>
  </conditionalFormatting>
  <conditionalFormatting sqref="B105:B106">
    <cfRule type="cellIs" dxfId="83" priority="219" operator="equal">
      <formula>"Profit result"</formula>
    </cfRule>
    <cfRule type="cellIs" dxfId="82" priority="220" operator="equal">
      <formula>"Parameters"</formula>
    </cfRule>
  </conditionalFormatting>
  <conditionalFormatting sqref="B148">
    <cfRule type="cellIs" dxfId="81" priority="209" operator="equal">
      <formula>"Profit result"</formula>
    </cfRule>
    <cfRule type="cellIs" dxfId="80" priority="210" operator="equal">
      <formula>"Parameters"</formula>
    </cfRule>
  </conditionalFormatting>
  <conditionalFormatting sqref="B150">
    <cfRule type="cellIs" dxfId="79" priority="207" operator="equal">
      <formula>"Profit result"</formula>
    </cfRule>
    <cfRule type="cellIs" dxfId="78" priority="208" operator="equal">
      <formula>"Parameters"</formula>
    </cfRule>
  </conditionalFormatting>
  <conditionalFormatting sqref="B136:B138">
    <cfRule type="cellIs" dxfId="77" priority="189" operator="equal">
      <formula>"Profit result"</formula>
    </cfRule>
    <cfRule type="cellIs" dxfId="76" priority="190" operator="equal">
      <formula>"Parameters"</formula>
    </cfRule>
  </conditionalFormatting>
  <conditionalFormatting sqref="B29">
    <cfRule type="cellIs" dxfId="75" priority="151" operator="equal">
      <formula>"Parameters"</formula>
    </cfRule>
  </conditionalFormatting>
  <conditionalFormatting sqref="B30">
    <cfRule type="cellIs" dxfId="74" priority="150" operator="equal">
      <formula>"Parameters"</formula>
    </cfRule>
  </conditionalFormatting>
  <conditionalFormatting sqref="B38 B31:B34">
    <cfRule type="cellIs" dxfId="73" priority="149" operator="equal">
      <formula>"Parameters"</formula>
    </cfRule>
  </conditionalFormatting>
  <conditionalFormatting sqref="B35">
    <cfRule type="cellIs" dxfId="72" priority="140" operator="equal">
      <formula>"Profit result"</formula>
    </cfRule>
  </conditionalFormatting>
  <conditionalFormatting sqref="B94">
    <cfRule type="cellIs" dxfId="71" priority="131" operator="equal">
      <formula>"Profit result"</formula>
    </cfRule>
  </conditionalFormatting>
  <conditionalFormatting sqref="B96">
    <cfRule type="cellIs" dxfId="70" priority="130" operator="equal">
      <formula>"Profit result"</formula>
    </cfRule>
  </conditionalFormatting>
  <conditionalFormatting sqref="B98">
    <cfRule type="cellIs" dxfId="69" priority="128" operator="equal">
      <formula>"Profit result"</formula>
    </cfRule>
  </conditionalFormatting>
  <conditionalFormatting sqref="C105">
    <cfRule type="cellIs" dxfId="68" priority="123" operator="equal">
      <formula>"Parameters"</formula>
    </cfRule>
  </conditionalFormatting>
  <conditionalFormatting sqref="C105">
    <cfRule type="cellIs" dxfId="67" priority="124" operator="equal">
      <formula>"Profit result"</formula>
    </cfRule>
  </conditionalFormatting>
  <conditionalFormatting sqref="B114">
    <cfRule type="cellIs" dxfId="66" priority="111" operator="equal">
      <formula>"Profit result"</formula>
    </cfRule>
  </conditionalFormatting>
  <conditionalFormatting sqref="B117">
    <cfRule type="cellIs" dxfId="65" priority="110" operator="equal">
      <formula>"Profit result"</formula>
    </cfRule>
  </conditionalFormatting>
  <conditionalFormatting sqref="B120">
    <cfRule type="cellIs" dxfId="64" priority="108" operator="equal">
      <formula>"Profit result"</formula>
    </cfRule>
  </conditionalFormatting>
  <conditionalFormatting sqref="B116">
    <cfRule type="cellIs" dxfId="63" priority="104" operator="equal">
      <formula>"Profit result"</formula>
    </cfRule>
  </conditionalFormatting>
  <conditionalFormatting sqref="B123">
    <cfRule type="cellIs" dxfId="62" priority="103" operator="equal">
      <formula>"Profit result"</formula>
    </cfRule>
  </conditionalFormatting>
  <conditionalFormatting sqref="B145">
    <cfRule type="cellIs" dxfId="61" priority="100" operator="equal">
      <formula>"Profit result"</formula>
    </cfRule>
  </conditionalFormatting>
  <conditionalFormatting sqref="B147">
    <cfRule type="cellIs" dxfId="60" priority="99" operator="equal">
      <formula>"Profit result"</formula>
    </cfRule>
  </conditionalFormatting>
  <conditionalFormatting sqref="B149">
    <cfRule type="cellIs" dxfId="59" priority="97" operator="equal">
      <formula>"Profit result"</formula>
    </cfRule>
  </conditionalFormatting>
  <conditionalFormatting sqref="B348:B350">
    <cfRule type="cellIs" dxfId="58" priority="92" operator="equal">
      <formula>"Profit result"</formula>
    </cfRule>
    <cfRule type="cellIs" dxfId="57" priority="93" operator="equal">
      <formula>"Parameters"</formula>
    </cfRule>
  </conditionalFormatting>
  <conditionalFormatting sqref="B210 B197:B201">
    <cfRule type="cellIs" dxfId="56" priority="86" operator="equal">
      <formula>"Profit result"</formula>
    </cfRule>
  </conditionalFormatting>
  <conditionalFormatting sqref="B255 B251:B253">
    <cfRule type="cellIs" dxfId="55" priority="78" operator="equal">
      <formula>"Parameters"</formula>
    </cfRule>
  </conditionalFormatting>
  <conditionalFormatting sqref="B255 B257 B259 B251:B253">
    <cfRule type="cellIs" dxfId="54" priority="77" operator="equal">
      <formula>"Profit result"</formula>
    </cfRule>
  </conditionalFormatting>
  <conditionalFormatting sqref="B265:B266">
    <cfRule type="cellIs" dxfId="53" priority="84" operator="equal">
      <formula>"Profit result"</formula>
    </cfRule>
    <cfRule type="cellIs" dxfId="52" priority="85" operator="equal">
      <formula>"Parameters"</formula>
    </cfRule>
  </conditionalFormatting>
  <conditionalFormatting sqref="B315">
    <cfRule type="cellIs" dxfId="51" priority="82" operator="equal">
      <formula>"Profit result"</formula>
    </cfRule>
    <cfRule type="cellIs" dxfId="50" priority="83" operator="equal">
      <formula>"Parameters"</formula>
    </cfRule>
  </conditionalFormatting>
  <conditionalFormatting sqref="B317">
    <cfRule type="cellIs" dxfId="49" priority="80" operator="equal">
      <formula>"Profit result"</formula>
    </cfRule>
    <cfRule type="cellIs" dxfId="48" priority="81" operator="equal">
      <formula>"Parameters"</formula>
    </cfRule>
  </conditionalFormatting>
  <conditionalFormatting sqref="B303:B305">
    <cfRule type="cellIs" dxfId="47" priority="74" operator="equal">
      <formula>"Profit result"</formula>
    </cfRule>
    <cfRule type="cellIs" dxfId="46" priority="75" operator="equal">
      <formula>"Parameters"</formula>
    </cfRule>
  </conditionalFormatting>
  <conditionalFormatting sqref="B186">
    <cfRule type="cellIs" dxfId="45" priority="73" operator="equal">
      <formula>"Parameters"</formula>
    </cfRule>
  </conditionalFormatting>
  <conditionalFormatting sqref="B187">
    <cfRule type="cellIs" dxfId="44" priority="72" operator="equal">
      <formula>"Parameters"</formula>
    </cfRule>
  </conditionalFormatting>
  <conditionalFormatting sqref="B196 B188:B192">
    <cfRule type="cellIs" dxfId="43" priority="71" operator="equal">
      <formula>"Parameters"</formula>
    </cfRule>
  </conditionalFormatting>
  <conditionalFormatting sqref="B193">
    <cfRule type="cellIs" dxfId="42" priority="69" operator="equal">
      <formula>"Profit result"</formula>
    </cfRule>
  </conditionalFormatting>
  <conditionalFormatting sqref="B254">
    <cfRule type="cellIs" dxfId="41" priority="61" operator="equal">
      <formula>"Profit result"</formula>
    </cfRule>
  </conditionalFormatting>
  <conditionalFormatting sqref="B256">
    <cfRule type="cellIs" dxfId="40" priority="60" operator="equal">
      <formula>"Profit result"</formula>
    </cfRule>
  </conditionalFormatting>
  <conditionalFormatting sqref="B258">
    <cfRule type="cellIs" dxfId="39" priority="58" operator="equal">
      <formula>"Profit result"</formula>
    </cfRule>
  </conditionalFormatting>
  <conditionalFormatting sqref="C265">
    <cfRule type="cellIs" dxfId="38" priority="53" operator="equal">
      <formula>"Parameters"</formula>
    </cfRule>
  </conditionalFormatting>
  <conditionalFormatting sqref="C265">
    <cfRule type="cellIs" dxfId="37" priority="54" operator="equal">
      <formula>"Profit result"</formula>
    </cfRule>
  </conditionalFormatting>
  <conditionalFormatting sqref="B276">
    <cfRule type="cellIs" dxfId="36" priority="49" operator="equal">
      <formula>"Profit result"</formula>
    </cfRule>
  </conditionalFormatting>
  <conditionalFormatting sqref="B280">
    <cfRule type="cellIs" dxfId="35" priority="48" operator="equal">
      <formula>"Profit result"</formula>
    </cfRule>
  </conditionalFormatting>
  <conditionalFormatting sqref="B284">
    <cfRule type="cellIs" dxfId="34" priority="46" operator="equal">
      <formula>"Profit result"</formula>
    </cfRule>
  </conditionalFormatting>
  <conditionalFormatting sqref="B279">
    <cfRule type="cellIs" dxfId="33" priority="42" operator="equal">
      <formula>"Profit result"</formula>
    </cfRule>
  </conditionalFormatting>
  <conditionalFormatting sqref="B288">
    <cfRule type="cellIs" dxfId="32" priority="41" operator="equal">
      <formula>"Profit result"</formula>
    </cfRule>
  </conditionalFormatting>
  <conditionalFormatting sqref="B312">
    <cfRule type="cellIs" dxfId="31" priority="38" operator="equal">
      <formula>"Profit result"</formula>
    </cfRule>
  </conditionalFormatting>
  <conditionalFormatting sqref="B314">
    <cfRule type="cellIs" dxfId="30" priority="37" operator="equal">
      <formula>"Profit result"</formula>
    </cfRule>
  </conditionalFormatting>
  <conditionalFormatting sqref="B316">
    <cfRule type="cellIs" dxfId="29" priority="35" operator="equal">
      <formula>"Profit result"</formula>
    </cfRule>
  </conditionalFormatting>
  <conditionalFormatting sqref="C2">
    <cfRule type="cellIs" dxfId="28" priority="26" operator="equal">
      <formula>"Parameters"</formula>
    </cfRule>
  </conditionalFormatting>
  <conditionalFormatting sqref="B232:B233">
    <cfRule type="cellIs" dxfId="27" priority="23" operator="equal">
      <formula>"Profit result"</formula>
    </cfRule>
  </conditionalFormatting>
  <conditionalFormatting sqref="B81">
    <cfRule type="cellIs" dxfId="26" priority="22" operator="equal">
      <formula>"Profit result"</formula>
    </cfRule>
  </conditionalFormatting>
  <conditionalFormatting sqref="B82:B84">
    <cfRule type="cellIs" dxfId="25" priority="20" operator="equal">
      <formula>"Profit result"</formula>
    </cfRule>
    <cfRule type="cellIs" dxfId="24" priority="21" operator="equal">
      <formula>"Parameters"</formula>
    </cfRule>
  </conditionalFormatting>
  <conditionalFormatting sqref="B240">
    <cfRule type="cellIs" dxfId="23" priority="19" operator="equal">
      <formula>"Profit result"</formula>
    </cfRule>
  </conditionalFormatting>
  <conditionalFormatting sqref="B241:B243">
    <cfRule type="cellIs" dxfId="22" priority="17" operator="equal">
      <formula>"Profit result"</formula>
    </cfRule>
    <cfRule type="cellIs" dxfId="21" priority="18" operator="equal">
      <formula>"Parameters"</formula>
    </cfRule>
  </conditionalFormatting>
  <conditionalFormatting sqref="C8">
    <cfRule type="cellIs" dxfId="20" priority="16" operator="equal">
      <formula>"Parameters"</formula>
    </cfRule>
  </conditionalFormatting>
  <conditionalFormatting sqref="C339">
    <cfRule type="cellIs" dxfId="19" priority="15" operator="equal">
      <formula>"Parameters"</formula>
    </cfRule>
  </conditionalFormatting>
  <conditionalFormatting sqref="B167">
    <cfRule type="cellIs" dxfId="18" priority="14" operator="equal">
      <formula>"Profit result"</formula>
    </cfRule>
  </conditionalFormatting>
  <conditionalFormatting sqref="B160">
    <cfRule type="cellIs" dxfId="17" priority="7" operator="equal">
      <formula>"Profit result"</formula>
    </cfRule>
  </conditionalFormatting>
  <conditionalFormatting sqref="B162">
    <cfRule type="cellIs" dxfId="16" priority="6" operator="equal">
      <formula>"Profit result"</formula>
    </cfRule>
  </conditionalFormatting>
  <conditionalFormatting sqref="B164">
    <cfRule type="cellIs" dxfId="15" priority="5" operator="equal">
      <formula>"Profit result"</formula>
    </cfRule>
  </conditionalFormatting>
  <conditionalFormatting sqref="B334">
    <cfRule type="cellIs" dxfId="14" priority="4" operator="equal">
      <formula>"Profit result"</formula>
    </cfRule>
  </conditionalFormatting>
  <conditionalFormatting sqref="B327">
    <cfRule type="cellIs" dxfId="13" priority="3" operator="equal">
      <formula>"Profit result"</formula>
    </cfRule>
  </conditionalFormatting>
  <conditionalFormatting sqref="B329">
    <cfRule type="cellIs" dxfId="12" priority="2" operator="equal">
      <formula>"Profit result"</formula>
    </cfRule>
  </conditionalFormatting>
  <conditionalFormatting sqref="B331">
    <cfRule type="cellIs" dxfId="11" priority="1" operator="equal">
      <formula>"Profit result"</formula>
    </cfRule>
  </conditionalFormatting>
  <dataValidations count="1">
    <dataValidation type="list" allowBlank="1" showInputMessage="1" showErrorMessage="1" sqref="D10:J10 D4:J4" xr:uid="{5FB7C597-A8C4-4270-8B18-1EEC2ADBB29F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756D-B307-4945-BC3D-229D20564CD0}">
  <sheetPr codeName="Sheet2">
    <tabColor rgb="FFFF8A00"/>
  </sheetPr>
  <dimension ref="B2:AE31"/>
  <sheetViews>
    <sheetView topLeftCell="B1" zoomScale="70" workbookViewId="0">
      <selection activeCell="D5" sqref="D5"/>
    </sheetView>
  </sheetViews>
  <sheetFormatPr defaultColWidth="9" defaultRowHeight="15.75" x14ac:dyDescent="0.25"/>
  <cols>
    <col min="1" max="1" width="3.375" customWidth="1"/>
    <col min="2" max="2" width="46.125" customWidth="1"/>
    <col min="3" max="3" width="6" customWidth="1"/>
    <col min="4" max="4" width="13.625" customWidth="1"/>
    <col min="5" max="5" width="12.375" customWidth="1"/>
    <col min="6" max="6" width="13.875" customWidth="1"/>
    <col min="7" max="7" width="14.125" customWidth="1"/>
    <col min="8" max="8" width="12.875" customWidth="1"/>
    <col min="9" max="9" width="13.625" customWidth="1"/>
    <col min="10" max="10" width="14.375" bestFit="1" customWidth="1"/>
    <col min="11" max="11" width="14.625" customWidth="1"/>
    <col min="12" max="12" width="14.375" bestFit="1" customWidth="1"/>
    <col min="13" max="14" width="15.375" bestFit="1" customWidth="1"/>
    <col min="15" max="30" width="15.375" customWidth="1"/>
    <col min="31" max="31" width="9" customWidth="1"/>
    <col min="32" max="32" width="17.125" customWidth="1"/>
    <col min="33" max="40" width="9" customWidth="1"/>
  </cols>
  <sheetData>
    <row r="2" spans="2:31" ht="18.75" x14ac:dyDescent="0.3">
      <c r="B2" s="276"/>
      <c r="C2" s="276"/>
      <c r="D2" s="304" t="s">
        <v>152</v>
      </c>
      <c r="E2" s="8"/>
      <c r="F2" s="8"/>
      <c r="G2" s="304" t="s">
        <v>153</v>
      </c>
      <c r="I2" s="304" t="s">
        <v>154</v>
      </c>
      <c r="K2" s="304" t="s">
        <v>155</v>
      </c>
      <c r="AE2" s="10" t="s">
        <v>156</v>
      </c>
    </row>
    <row r="3" spans="2:31" x14ac:dyDescent="0.25">
      <c r="B3" s="289"/>
      <c r="C3" s="289"/>
      <c r="D3" s="294">
        <v>2024</v>
      </c>
      <c r="E3" s="160">
        <v>2025</v>
      </c>
      <c r="F3" s="161">
        <v>2026</v>
      </c>
      <c r="G3" s="294">
        <v>2027</v>
      </c>
      <c r="H3" s="161">
        <v>2028</v>
      </c>
      <c r="I3" s="294">
        <v>2029</v>
      </c>
      <c r="J3" s="161">
        <v>2030</v>
      </c>
      <c r="K3" s="294">
        <v>2031</v>
      </c>
      <c r="L3" s="161">
        <v>2032</v>
      </c>
      <c r="M3" s="161">
        <v>2033</v>
      </c>
      <c r="N3" s="160">
        <v>2034</v>
      </c>
      <c r="O3" s="161">
        <v>2035</v>
      </c>
      <c r="P3" s="160">
        <v>2036</v>
      </c>
      <c r="Q3" s="161">
        <v>2037</v>
      </c>
      <c r="R3" s="160">
        <v>2038</v>
      </c>
      <c r="S3" s="161">
        <v>2039</v>
      </c>
      <c r="T3" s="160">
        <v>2040</v>
      </c>
      <c r="U3" s="161">
        <v>2041</v>
      </c>
      <c r="V3" s="160">
        <v>2042</v>
      </c>
      <c r="W3" s="161">
        <v>2043</v>
      </c>
      <c r="X3" s="160">
        <v>2044</v>
      </c>
      <c r="Y3" s="161">
        <v>2045</v>
      </c>
      <c r="Z3" s="160">
        <v>2046</v>
      </c>
      <c r="AA3" s="161">
        <v>2047</v>
      </c>
      <c r="AB3" s="160">
        <v>2048</v>
      </c>
      <c r="AC3" s="161">
        <v>2049</v>
      </c>
      <c r="AD3" s="160">
        <v>2050</v>
      </c>
    </row>
    <row r="4" spans="2:31" x14ac:dyDescent="0.25">
      <c r="B4" s="293" t="s">
        <v>168</v>
      </c>
      <c r="C4" s="293"/>
      <c r="D4" s="292">
        <f ca="1">Cockpit!E104+Cockpit!E264</f>
        <v>0</v>
      </c>
      <c r="E4" s="292">
        <f ca="1">Cockpit!F104+Cockpit!F264</f>
        <v>0</v>
      </c>
      <c r="F4" s="292">
        <f ca="1">Cockpit!G104+Cockpit!G264</f>
        <v>0</v>
      </c>
      <c r="G4" s="292">
        <f ca="1">Cockpit!H104+Cockpit!H264</f>
        <v>41391.000000000007</v>
      </c>
      <c r="H4" s="292">
        <f ca="1">Cockpit!I104+Cockpit!I264</f>
        <v>0</v>
      </c>
      <c r="I4" s="292">
        <f ca="1">Cockpit!J104+Cockpit!J264</f>
        <v>27527970</v>
      </c>
      <c r="J4" s="292">
        <f ca="1">Cockpit!K104+Cockpit!K264</f>
        <v>19190470</v>
      </c>
      <c r="K4" s="292">
        <f ca="1">Cockpit!L104+Cockpit!L264</f>
        <v>47165470</v>
      </c>
      <c r="L4" s="292">
        <f ca="1">Cockpit!M104+Cockpit!M264</f>
        <v>92852970</v>
      </c>
      <c r="M4" s="292">
        <f ca="1">Cockpit!N104+Cockpit!N264</f>
        <v>156884220</v>
      </c>
      <c r="N4" s="292">
        <f ca="1">Cockpit!O104+Cockpit!O264</f>
        <v>224534220</v>
      </c>
      <c r="O4" s="292">
        <f ca="1">Cockpit!P104+Cockpit!P264</f>
        <v>300642970</v>
      </c>
      <c r="P4" s="292">
        <f ca="1">Cockpit!Q104+Cockpit!Q264</f>
        <v>386940782.5</v>
      </c>
      <c r="Q4" s="292">
        <f ca="1">Cockpit!R104+Cockpit!R264</f>
        <v>485816173.125</v>
      </c>
      <c r="R4" s="292">
        <f ca="1">Cockpit!S104+Cockpit!S264</f>
        <v>600387911.40625</v>
      </c>
      <c r="S4" s="292">
        <f ca="1">Cockpit!T104+Cockpit!T264</f>
        <v>734738209.2578125</v>
      </c>
      <c r="T4" s="292">
        <f ca="1">Cockpit!U104+Cockpit!U264</f>
        <v>892660456.57226563</v>
      </c>
      <c r="U4" s="292">
        <f ca="1">Cockpit!V104+Cockpit!V264</f>
        <v>1039943533.3544922</v>
      </c>
      <c r="V4" s="292">
        <f ca="1">Cockpit!W104+Cockpit!W264</f>
        <v>1197021218.5961914</v>
      </c>
      <c r="W4" s="292">
        <f ca="1">Cockpit!X104+Cockpit!X264</f>
        <v>1365078110.838623</v>
      </c>
      <c r="X4" s="292">
        <f ca="1">Cockpit!Y104+Cockpit!Y264</f>
        <v>1478679740.401001</v>
      </c>
      <c r="Y4" s="292">
        <f ca="1">Cockpit!Z104+Cockpit!Z264</f>
        <v>1663031468.0392456</v>
      </c>
      <c r="Z4" s="292">
        <f ca="1">Cockpit!AA104+Cockpit!AA264</f>
        <v>1860444020.9681704</v>
      </c>
      <c r="AA4" s="292">
        <f ca="1">Cockpit!AB104+Cockpit!AB264</f>
        <v>2071989879.9712377</v>
      </c>
      <c r="AB4" s="292">
        <f ca="1">Cockpit!AC104+Cockpit!AC264</f>
        <v>2298700872.3511739</v>
      </c>
      <c r="AC4" s="292">
        <f ca="1">Cockpit!AD104+Cockpit!AD264</f>
        <v>2541645713.1648068</v>
      </c>
      <c r="AD4" s="292">
        <f ca="1">Cockpit!AE104+Cockpit!AE264</f>
        <v>2800535585.079432</v>
      </c>
    </row>
    <row r="5" spans="2:31" ht="16.5" thickBot="1" x14ac:dyDescent="0.3">
      <c r="B5" s="208" t="s">
        <v>177</v>
      </c>
      <c r="C5" s="208"/>
      <c r="D5" s="295">
        <f ca="1">Cockpit!E132+Cockpit!E299</f>
        <v>0</v>
      </c>
      <c r="E5" s="295">
        <f ca="1">Cockpit!F132+Cockpit!F299</f>
        <v>0</v>
      </c>
      <c r="F5" s="295">
        <f ca="1">Cockpit!G132+Cockpit!G299</f>
        <v>0</v>
      </c>
      <c r="G5" s="295">
        <f ca="1">Cockpit!H132+Cockpit!H299</f>
        <v>41074.818749999999</v>
      </c>
      <c r="H5" s="295">
        <f ca="1">Cockpit!I132+Cockpit!I299</f>
        <v>0</v>
      </c>
      <c r="I5" s="295">
        <f ca="1">Cockpit!J132+Cockpit!J299</f>
        <v>27604554.279166669</v>
      </c>
      <c r="J5" s="295">
        <f ca="1">Cockpit!K132+Cockpit!K299</f>
        <v>11696992.980555557</v>
      </c>
      <c r="K5" s="295">
        <f ca="1">Cockpit!L132+Cockpit!L299</f>
        <v>26897889.438888889</v>
      </c>
      <c r="L5" s="295">
        <f ca="1">Cockpit!M132+Cockpit!M299</f>
        <v>52853401.904166669</v>
      </c>
      <c r="M5" s="295">
        <f ca="1">Cockpit!N132+Cockpit!N299</f>
        <v>65932682.581249997</v>
      </c>
      <c r="N5" s="295">
        <f ca="1">Cockpit!O132+Cockpit!O299</f>
        <v>79998014.558333337</v>
      </c>
      <c r="O5" s="295">
        <f ca="1">Cockpit!P132+Cockpit!P299</f>
        <v>109959890.12864584</v>
      </c>
      <c r="P5" s="295">
        <f ca="1">Cockpit!Q132+Cockpit!Q299</f>
        <v>113407266.53164062</v>
      </c>
      <c r="Q5" s="295">
        <f ca="1">Cockpit!R132+Cockpit!R299</f>
        <v>139017313.47861329</v>
      </c>
      <c r="R5" s="295">
        <f ca="1">Cockpit!S132+Cockpit!S299</f>
        <v>167655613.85920411</v>
      </c>
      <c r="S5" s="295">
        <f ca="1">Cockpit!T132+Cockpit!T299</f>
        <v>199941601.03181762</v>
      </c>
      <c r="T5" s="295">
        <f ca="1">Cockpit!U132+Cockpit!U299</f>
        <v>236896951.12414706</v>
      </c>
      <c r="U5" s="295">
        <f ca="1">Cockpit!V132+Cockpit!V299</f>
        <v>267820278.04218674</v>
      </c>
      <c r="V5" s="295">
        <f ca="1">Cockpit!W132+Cockpit!W299</f>
        <v>300508294.58078039</v>
      </c>
      <c r="W5" s="295">
        <f ca="1">Cockpit!X132+Cockpit!X299</f>
        <v>335144444.36838973</v>
      </c>
      <c r="X5" s="295">
        <f ca="1">Cockpit!Y132+Cockpit!Y299</f>
        <v>359016392.94386154</v>
      </c>
      <c r="Y5" s="295">
        <f ca="1">Cockpit!Z132+Cockpit!Z299</f>
        <v>396487632.91793525</v>
      </c>
      <c r="Z5" s="295">
        <f ca="1">Cockpit!AA132+Cockpit!AA299</f>
        <v>436333091.14254123</v>
      </c>
      <c r="AA5" s="295">
        <f ca="1">Cockpit!AB132+Cockpit!AB299</f>
        <v>478779733.70148289</v>
      </c>
      <c r="AB5" s="295">
        <f ca="1">Cockpit!AC132+Cockpit!AC299</f>
        <v>524050197.0900687</v>
      </c>
      <c r="AC5" s="295">
        <f ca="1">Cockpit!AD132+Cockpit!AD299</f>
        <v>572416480.09563804</v>
      </c>
      <c r="AD5" s="295">
        <f ca="1">Cockpit!AE132+Cockpit!AE299</f>
        <v>624164183.22863936</v>
      </c>
    </row>
    <row r="6" spans="2:31" x14ac:dyDescent="0.25">
      <c r="B6" s="208" t="s">
        <v>252</v>
      </c>
      <c r="C6" s="208"/>
      <c r="D6" s="291">
        <f ca="1">'Resulting Overall Profits'!D4-D5</f>
        <v>0</v>
      </c>
      <c r="E6" s="12">
        <f ca="1">'Resulting Overall Profits'!E4-E5</f>
        <v>0</v>
      </c>
      <c r="F6" s="12">
        <f ca="1">'Resulting Overall Profits'!F4-F5</f>
        <v>0</v>
      </c>
      <c r="G6" s="291">
        <f ca="1">'Resulting Overall Profits'!G4-G5</f>
        <v>316.18125000000873</v>
      </c>
      <c r="H6" s="12">
        <f ca="1">'Resulting Overall Profits'!H4-H5</f>
        <v>0</v>
      </c>
      <c r="I6" s="291">
        <f ca="1">'Resulting Overall Profits'!I4-I5</f>
        <v>-76584.279166668653</v>
      </c>
      <c r="J6" s="12">
        <f ca="1">'Resulting Overall Profits'!J4-J5</f>
        <v>7493477.0194444433</v>
      </c>
      <c r="K6" s="291">
        <f ca="1">'Resulting Overall Profits'!K4-K5</f>
        <v>20267580.561111111</v>
      </c>
      <c r="L6" s="12">
        <f ca="1">'Resulting Overall Profits'!L4-L5</f>
        <v>39999568.095833331</v>
      </c>
      <c r="M6" s="12">
        <f ca="1">'Resulting Overall Profits'!M4-M5</f>
        <v>90951537.418750003</v>
      </c>
      <c r="N6" s="12">
        <f ca="1">'Resulting Overall Profits'!N4-N5</f>
        <v>144536205.44166666</v>
      </c>
      <c r="O6" s="12">
        <f ca="1">'Resulting Overall Profits'!O4-O5</f>
        <v>190683079.87135416</v>
      </c>
      <c r="P6" s="12">
        <f ca="1">'Resulting Overall Profits'!P4-P5</f>
        <v>273533515.96835935</v>
      </c>
      <c r="Q6" s="12">
        <f ca="1">'Resulting Overall Profits'!Q4-Q5</f>
        <v>346798859.64638674</v>
      </c>
      <c r="R6" s="12">
        <f ca="1">'Resulting Overall Profits'!R4-R5</f>
        <v>432732297.54704589</v>
      </c>
      <c r="S6" s="12">
        <f ca="1">'Resulting Overall Profits'!S4-S5</f>
        <v>534796608.22599488</v>
      </c>
      <c r="T6" s="12">
        <f ca="1">'Resulting Overall Profits'!T4-T5</f>
        <v>655763505.44811857</v>
      </c>
      <c r="U6" s="12">
        <f ca="1">'Resulting Overall Profits'!U4-U5</f>
        <v>772123255.31230545</v>
      </c>
      <c r="V6" s="12">
        <f ca="1">'Resulting Overall Profits'!V4-V5</f>
        <v>896512924.01541102</v>
      </c>
      <c r="W6" s="12">
        <f ca="1">'Resulting Overall Profits'!W4-W5</f>
        <v>1029933666.4702333</v>
      </c>
      <c r="X6" s="12">
        <f ca="1">'Resulting Overall Profits'!X4-X5</f>
        <v>1119663347.4571395</v>
      </c>
      <c r="Y6" s="12">
        <f ca="1">'Resulting Overall Profits'!Y4-Y5</f>
        <v>1266543835.1213102</v>
      </c>
      <c r="Z6" s="12">
        <f ca="1">'Resulting Overall Profits'!Z4-Z5</f>
        <v>1424110929.8256292</v>
      </c>
      <c r="AA6" s="12">
        <f ca="1">'Resulting Overall Profits'!AA4-AA5</f>
        <v>1593210146.2697549</v>
      </c>
      <c r="AB6" s="12">
        <f ca="1">'Resulting Overall Profits'!AB4-AB5</f>
        <v>1774650675.2611051</v>
      </c>
      <c r="AC6" s="12">
        <f ca="1">'Resulting Overall Profits'!AC4-AC5</f>
        <v>1969229233.0691688</v>
      </c>
      <c r="AD6" s="12">
        <f ca="1">'Resulting Overall Profits'!AD4-AD5</f>
        <v>2176371401.8507929</v>
      </c>
    </row>
    <row r="7" spans="2:31" s="338" customFormat="1" x14ac:dyDescent="0.25">
      <c r="B7" s="395" t="s">
        <v>186</v>
      </c>
      <c r="C7" s="395"/>
      <c r="D7" s="396">
        <v>374116</v>
      </c>
      <c r="E7" s="397">
        <v>2037812</v>
      </c>
      <c r="F7" s="397">
        <v>2536592</v>
      </c>
      <c r="G7" s="396">
        <v>2215877.4333333331</v>
      </c>
      <c r="H7" s="397">
        <v>2515113.7906250004</v>
      </c>
      <c r="I7" s="396">
        <v>2788503.9087500004</v>
      </c>
      <c r="J7" s="397">
        <v>3087370.4636250003</v>
      </c>
      <c r="K7" s="396">
        <v>3371875.0582937505</v>
      </c>
      <c r="L7" s="397">
        <v>3381898.5</v>
      </c>
      <c r="M7" s="397">
        <v>5747398.5</v>
      </c>
      <c r="N7" s="397">
        <v>8394398.5</v>
      </c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</row>
    <row r="8" spans="2:31" s="338" customFormat="1" ht="15.6" customHeight="1" x14ac:dyDescent="0.25">
      <c r="B8" s="395" t="s">
        <v>254</v>
      </c>
      <c r="C8" s="395"/>
      <c r="D8" s="396">
        <f>246126.239382239</f>
        <v>246126.239382239</v>
      </c>
      <c r="E8" s="398">
        <f>615104.764478764</f>
        <v>615104.76447876403</v>
      </c>
      <c r="F8" s="398">
        <f>771078.193050193</f>
        <v>771078.19305019302</v>
      </c>
      <c r="G8" s="396">
        <f>1062084.78378378</f>
        <v>1062084.7837837799</v>
      </c>
      <c r="H8" s="398">
        <f>1375492.61216216</f>
        <v>1375492.61216216</v>
      </c>
      <c r="I8" s="396">
        <f>1905108.65337838</f>
        <v>1905108.65337838</v>
      </c>
      <c r="J8" s="398">
        <f>2544512.88121622</f>
        <v>2544512.8812162201</v>
      </c>
      <c r="K8" s="396">
        <f>2919998.28058784</f>
        <v>2919998.2805878399</v>
      </c>
      <c r="L8" s="398">
        <f>3589346.38052162</f>
        <v>3589346.3805216202</v>
      </c>
      <c r="M8" s="398">
        <f>4406216.35841753</f>
        <v>4406216.3584175296</v>
      </c>
      <c r="N8" s="398">
        <f>5406757.16906397</f>
        <v>5406757.1690639704</v>
      </c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</row>
    <row r="9" spans="2:31" ht="15.6" customHeight="1" x14ac:dyDescent="0.25">
      <c r="B9" s="30" t="s">
        <v>322</v>
      </c>
      <c r="C9" s="30"/>
      <c r="D9" s="296">
        <f>Cockpit!E322+Cockpit!E155</f>
        <v>0</v>
      </c>
      <c r="E9" s="296">
        <f>Cockpit!F322+Cockpit!F155</f>
        <v>0</v>
      </c>
      <c r="F9" s="296">
        <f>Cockpit!G322+Cockpit!G155</f>
        <v>0</v>
      </c>
      <c r="G9" s="296">
        <f>Cockpit!H322+Cockpit!H155</f>
        <v>1995000</v>
      </c>
      <c r="H9" s="296">
        <f>Cockpit!I322+Cockpit!I155</f>
        <v>2500575</v>
      </c>
      <c r="I9" s="296">
        <f>Cockpit!J322+Cockpit!J155</f>
        <v>6832800</v>
      </c>
      <c r="J9" s="296">
        <f>Cockpit!K322+Cockpit!K155</f>
        <v>10950000</v>
      </c>
      <c r="K9" s="296">
        <f>Cockpit!L322+Cockpit!L155</f>
        <v>17520000</v>
      </c>
      <c r="L9" s="296">
        <f>Cockpit!M322+Cockpit!M155</f>
        <v>22995000.000000004</v>
      </c>
      <c r="M9" s="296">
        <f>Cockpit!N322+Cockpit!N155</f>
        <v>32028750</v>
      </c>
      <c r="N9" s="296">
        <f>Cockpit!O322+Cockpit!O155</f>
        <v>44413200</v>
      </c>
      <c r="O9" s="296">
        <f>Cockpit!P322+Cockpit!P155</f>
        <v>41588100</v>
      </c>
      <c r="P9" s="296">
        <f>Cockpit!Q322+Cockpit!Q155</f>
        <v>52034400</v>
      </c>
      <c r="Q9" s="296">
        <f>Cockpit!R322+Cockpit!R155</f>
        <v>65043000</v>
      </c>
      <c r="R9" s="296">
        <f>Cockpit!S322+Cockpit!S155</f>
        <v>81205200</v>
      </c>
      <c r="S9" s="296">
        <f>Cockpit!T322+Cockpit!T155</f>
        <v>101506500</v>
      </c>
      <c r="T9" s="296">
        <f>Cockpit!U322+Cockpit!U155</f>
        <v>126932400</v>
      </c>
      <c r="U9" s="296">
        <f>Cockpit!V322+Cockpit!V155</f>
        <v>139546800</v>
      </c>
      <c r="V9" s="296">
        <f>Cockpit!W322+Cockpit!W155</f>
        <v>153540900</v>
      </c>
      <c r="W9" s="296">
        <f>Cockpit!X322+Cockpit!X155</f>
        <v>168914700</v>
      </c>
      <c r="X9" s="296">
        <f>Cockpit!Y322+Cockpit!Y155</f>
        <v>185668200</v>
      </c>
      <c r="Y9" s="296">
        <f>Cockpit!Z322+Cockpit!Z155</f>
        <v>204392700</v>
      </c>
      <c r="Z9" s="296">
        <f>Cockpit!AA322+Cockpit!AA155</f>
        <v>224694000</v>
      </c>
      <c r="AA9" s="296">
        <f>Cockpit!AB322+Cockpit!AB155</f>
        <v>247163400</v>
      </c>
      <c r="AB9" s="296">
        <f>Cockpit!AC322+Cockpit!AC155</f>
        <v>271998000</v>
      </c>
      <c r="AC9" s="296">
        <f>Cockpit!AD322+Cockpit!AD155</f>
        <v>299197800</v>
      </c>
      <c r="AD9" s="296">
        <f>Cockpit!AE322+Cockpit!AE155</f>
        <v>329157000</v>
      </c>
    </row>
    <row r="10" spans="2:31" ht="16.5" thickBot="1" x14ac:dyDescent="0.3">
      <c r="B10" s="208" t="s">
        <v>323</v>
      </c>
      <c r="C10" s="208"/>
      <c r="D10" s="290">
        <f>SUM('R&amp;D budget'!C26:N29)</f>
        <v>296000</v>
      </c>
      <c r="E10" s="290">
        <f>SUM('R&amp;D budget'!O26:Z29)</f>
        <v>231050</v>
      </c>
      <c r="F10" s="290">
        <f>SUM('R&amp;D budget'!AA26:AL29)</f>
        <v>16050.000000000002</v>
      </c>
      <c r="G10" s="290">
        <v>15000000</v>
      </c>
      <c r="H10" s="290">
        <v>2000000</v>
      </c>
      <c r="I10" s="290">
        <v>0</v>
      </c>
      <c r="J10" s="290">
        <v>500000</v>
      </c>
      <c r="K10" s="290">
        <v>300000</v>
      </c>
      <c r="L10" s="290">
        <v>0</v>
      </c>
      <c r="M10" s="290">
        <v>0</v>
      </c>
      <c r="N10" s="290">
        <v>0</v>
      </c>
      <c r="O10" s="290"/>
      <c r="P10" s="290"/>
      <c r="Q10" s="290"/>
      <c r="R10" s="290"/>
      <c r="S10" s="290"/>
      <c r="T10" s="290"/>
      <c r="U10" s="290"/>
      <c r="V10" s="290"/>
      <c r="W10" s="290"/>
      <c r="X10" s="290"/>
      <c r="Y10" s="290"/>
      <c r="Z10" s="290"/>
      <c r="AA10" s="290"/>
      <c r="AB10" s="290"/>
      <c r="AC10" s="290"/>
      <c r="AD10" s="290"/>
      <c r="AE10" t="s">
        <v>213</v>
      </c>
    </row>
    <row r="11" spans="2:31" ht="15" customHeight="1" x14ac:dyDescent="0.25">
      <c r="B11" s="209" t="s">
        <v>199</v>
      </c>
      <c r="C11" s="209"/>
      <c r="D11" s="297">
        <f ca="1">'Resulting Overall Profits'!D4-D5-'Resulting Overall Profits'!D7-'Resulting Overall Profits'!D8</f>
        <v>-620242.23938223906</v>
      </c>
      <c r="E11" s="210">
        <f ca="1">'Resulting Overall Profits'!E4-E5-'Resulting Overall Profits'!E7-'Resulting Overall Profits'!E8</f>
        <v>-2652916.764478764</v>
      </c>
      <c r="F11" s="210">
        <f ca="1">'Resulting Overall Profits'!F4-F5-'Resulting Overall Profits'!F7-'Resulting Overall Profits'!F8</f>
        <v>-3307670.1930501931</v>
      </c>
      <c r="G11" s="297">
        <f ca="1">'Resulting Overall Profits'!G4-G5-'Resulting Overall Profits'!G7-'Resulting Overall Profits'!G8</f>
        <v>-3277646.0358671132</v>
      </c>
      <c r="H11" s="210">
        <f ca="1">'Resulting Overall Profits'!H4-H5-'Resulting Overall Profits'!H7-'Resulting Overall Profits'!H8</f>
        <v>-3890606.4027871601</v>
      </c>
      <c r="I11" s="297">
        <f ca="1">'Resulting Overall Profits'!I4-I5-'Resulting Overall Profits'!I7-'Resulting Overall Profits'!I8</f>
        <v>-4770196.8412950486</v>
      </c>
      <c r="J11" s="210">
        <f ca="1">'Resulting Overall Profits'!J4-J5-'Resulting Overall Profits'!J7-'Resulting Overall Profits'!J8</f>
        <v>1861593.6746032224</v>
      </c>
      <c r="K11" s="297">
        <f ca="1">'Resulting Overall Profits'!K4-K5-'Resulting Overall Profits'!K7-'Resulting Overall Profits'!K8</f>
        <v>13975707.222229522</v>
      </c>
      <c r="L11" s="210">
        <f ca="1">'Resulting Overall Profits'!L4-L5-'Resulting Overall Profits'!L7-'Resulting Overall Profits'!L8</f>
        <v>33028323.21531171</v>
      </c>
      <c r="M11" s="210">
        <f ca="1">'Resulting Overall Profits'!M4-M5-'Resulting Overall Profits'!M7-'Resulting Overall Profits'!M8</f>
        <v>80797922.560332477</v>
      </c>
      <c r="N11" s="210">
        <f ca="1">'Resulting Overall Profits'!N4-N5-'Resulting Overall Profits'!N7-'Resulting Overall Profits'!N8</f>
        <v>130735049.77260269</v>
      </c>
      <c r="O11" s="210">
        <f ca="1">'Resulting Overall Profits'!O4-O5-'Resulting Overall Profits'!O7-'Resulting Overall Profits'!O8</f>
        <v>190683079.87135416</v>
      </c>
      <c r="P11" s="210">
        <f ca="1">'Resulting Overall Profits'!P4-P5-'Resulting Overall Profits'!P7-'Resulting Overall Profits'!P8</f>
        <v>273533515.96835935</v>
      </c>
      <c r="Q11" s="210">
        <f ca="1">'Resulting Overall Profits'!Q4-Q5-'Resulting Overall Profits'!Q7-'Resulting Overall Profits'!Q8</f>
        <v>346798859.64638674</v>
      </c>
      <c r="R11" s="210">
        <f ca="1">'Resulting Overall Profits'!R4-R5-'Resulting Overall Profits'!R7-'Resulting Overall Profits'!R8</f>
        <v>432732297.54704589</v>
      </c>
      <c r="S11" s="210">
        <f ca="1">'Resulting Overall Profits'!S4-S5-'Resulting Overall Profits'!S7-'Resulting Overall Profits'!S8</f>
        <v>534796608.22599488</v>
      </c>
      <c r="T11" s="210">
        <f ca="1">'Resulting Overall Profits'!T4-T5-'Resulting Overall Profits'!T7-'Resulting Overall Profits'!T8</f>
        <v>655763505.44811857</v>
      </c>
      <c r="U11" s="210">
        <f ca="1">'Resulting Overall Profits'!U4-U5-'Resulting Overall Profits'!U7-'Resulting Overall Profits'!U8</f>
        <v>772123255.31230545</v>
      </c>
      <c r="V11" s="210">
        <f ca="1">'Resulting Overall Profits'!V4-V5-'Resulting Overall Profits'!V7-'Resulting Overall Profits'!V8</f>
        <v>896512924.01541102</v>
      </c>
      <c r="W11" s="210">
        <f ca="1">'Resulting Overall Profits'!W4-W5-'Resulting Overall Profits'!W7-'Resulting Overall Profits'!W8</f>
        <v>1029933666.4702333</v>
      </c>
      <c r="X11" s="210">
        <f ca="1">'Resulting Overall Profits'!X4-X5-'Resulting Overall Profits'!X7-'Resulting Overall Profits'!X8</f>
        <v>1119663347.4571395</v>
      </c>
      <c r="Y11" s="210">
        <f ca="1">'Resulting Overall Profits'!Y4-Y5-'Resulting Overall Profits'!Y7-'Resulting Overall Profits'!Y8</f>
        <v>1266543835.1213102</v>
      </c>
      <c r="Z11" s="210">
        <f ca="1">'Resulting Overall Profits'!Z4-Z5-'Resulting Overall Profits'!Z7-'Resulting Overall Profits'!Z8</f>
        <v>1424110929.8256292</v>
      </c>
      <c r="AA11" s="210">
        <f ca="1">'Resulting Overall Profits'!AA4-AA5-'Resulting Overall Profits'!AA7-'Resulting Overall Profits'!AA8</f>
        <v>1593210146.2697549</v>
      </c>
      <c r="AB11" s="210">
        <f ca="1">'Resulting Overall Profits'!AB4-AB5-'Resulting Overall Profits'!AB7-'Resulting Overall Profits'!AB8</f>
        <v>1774650675.2611051</v>
      </c>
      <c r="AC11" s="210">
        <f ca="1">'Resulting Overall Profits'!AC4-AC5-'Resulting Overall Profits'!AC7-'Resulting Overall Profits'!AC8</f>
        <v>1969229233.0691688</v>
      </c>
      <c r="AD11" s="210">
        <f ca="1">'Resulting Overall Profits'!AD4-AD5-'Resulting Overall Profits'!AD7-'Resulting Overall Profits'!AD8</f>
        <v>2176371401.8507929</v>
      </c>
    </row>
    <row r="12" spans="2:31" x14ac:dyDescent="0.25">
      <c r="B12" s="4" t="s">
        <v>325</v>
      </c>
      <c r="C12" s="4"/>
      <c r="D12" s="299">
        <f>Cockpit!E353</f>
        <v>0</v>
      </c>
      <c r="E12" s="299">
        <f>Cockpit!F353</f>
        <v>0</v>
      </c>
      <c r="F12" s="299">
        <f>Cockpit!G353</f>
        <v>0</v>
      </c>
      <c r="G12" s="299">
        <f>Cockpit!H353</f>
        <v>0</v>
      </c>
      <c r="H12" s="299">
        <f>Cockpit!I353</f>
        <v>99750</v>
      </c>
      <c r="I12" s="299">
        <f>Cockpit!J353</f>
        <v>566418.75</v>
      </c>
      <c r="J12" s="299">
        <f>Cockpit!K353</f>
        <v>1113918.75</v>
      </c>
      <c r="K12" s="299">
        <f>Cockpit!L353</f>
        <v>1989918.75</v>
      </c>
      <c r="L12" s="299">
        <f>Cockpit!M353</f>
        <v>3139668.75</v>
      </c>
      <c r="M12" s="299">
        <f>Cockpit!N353</f>
        <v>4741106.25</v>
      </c>
      <c r="N12" s="299">
        <f>Cockpit!O353</f>
        <v>6961766.25</v>
      </c>
      <c r="O12" s="299">
        <f>Cockpit!P353</f>
        <v>8348036.25</v>
      </c>
      <c r="P12" s="299">
        <f>Cockpit!Q353</f>
        <v>9648896.25</v>
      </c>
      <c r="Q12" s="299">
        <f>Cockpit!R353</f>
        <v>11274971.25</v>
      </c>
      <c r="R12" s="299">
        <f>Cockpit!S353</f>
        <v>13305101.25</v>
      </c>
      <c r="S12" s="299">
        <f>Cockpit!T353</f>
        <v>15842763.75</v>
      </c>
      <c r="T12" s="299">
        <f>Cockpit!U353</f>
        <v>19016073.75</v>
      </c>
      <c r="U12" s="299">
        <f>Cockpit!V353</f>
        <v>22504743.75</v>
      </c>
      <c r="V12" s="299">
        <f>Cockpit!W353</f>
        <v>26343266.25</v>
      </c>
      <c r="W12" s="299">
        <f>Cockpit!X353</f>
        <v>30566133.75</v>
      </c>
      <c r="X12" s="299">
        <f>Cockpit!Y353</f>
        <v>35207838.75</v>
      </c>
      <c r="Y12" s="299">
        <f>Cockpit!Z353</f>
        <v>40317656.25</v>
      </c>
      <c r="Z12" s="299">
        <f>Cockpit!AA353</f>
        <v>45935006.25</v>
      </c>
      <c r="AA12" s="299">
        <f>Cockpit!AB353</f>
        <v>52114091.25</v>
      </c>
      <c r="AB12" s="299">
        <f>Cockpit!AC353</f>
        <v>58814291.25</v>
      </c>
      <c r="AC12" s="299">
        <f>Cockpit!AD353</f>
        <v>66169207.5</v>
      </c>
      <c r="AD12" s="299">
        <f>Cockpit!AE353</f>
        <v>74056492.5</v>
      </c>
    </row>
    <row r="13" spans="2:31" x14ac:dyDescent="0.25">
      <c r="B13" s="3" t="s">
        <v>200</v>
      </c>
      <c r="C13" s="3"/>
      <c r="D13" s="263">
        <f>('Resulting Overall Profits'!$D$10/10)+IF(Cockpit!$D$4="Yes",Cockpit!E159,0)+IF(Cockpit!$F$4="Yes",Cockpit!E161,0)+IF(Cockpit!$G$4="Yes",Cockpit!E163,0)+IF(Cockpit!$H$4="Yes",Cockpit!E165,0)+IF(Cockpit!$I$4="Yes",Cockpit!E167,0)+IF(Cockpit!$J$4="Yes",Cockpit!E169,0)+IF(Cockpit!$D$10="Yes",Cockpit!E326,0)+IF(Cockpit!$F$10="Yes",Cockpit!E328,0)+IF(Cockpit!$G$10="Yes",Cockpit!E330,0)+IF(Cockpit!$H$10="Yes",Cockpit!E332,0)+IF(Cockpit!$I$10="Yes",Cockpit!E334,0)+IF(Cockpit!$J$10="Yes",Cockpit!E336,0)</f>
        <v>29600</v>
      </c>
      <c r="E13" s="263">
        <f>((SUM('Resulting Overall Profits'!$D$10:E10))/10)+IF(Cockpit!$D$4="Yes",Cockpit!F159,0)+IF(Cockpit!$F$4="Yes",Cockpit!F161,0)+IF(Cockpit!$G$4="Yes",Cockpit!F163,0)+IF(Cockpit!$H$4="Yes",Cockpit!F165,0)+IF(Cockpit!$I$4="Yes",Cockpit!F167,0)+IF(Cockpit!$J$4="Yes",Cockpit!F169,0)+IF(Cockpit!$D$10="Yes",Cockpit!F326,0)+IF(Cockpit!$F$10="Yes",Cockpit!F328,0)+IF(Cockpit!$G$10="Yes",Cockpit!F330,0)+IF(Cockpit!$H$10="Yes",Cockpit!F332,0)+IF(Cockpit!$I$10="Yes",Cockpit!F334,0)+IF(Cockpit!$J$10="Yes",Cockpit!F336,0)</f>
        <v>52705</v>
      </c>
      <c r="F13" s="263">
        <f>((SUM('Resulting Overall Profits'!$D$10:F10))/10)+IF(Cockpit!$D$4="Yes",Cockpit!G159,0)+IF(Cockpit!$F$4="Yes",Cockpit!G161,0)+IF(Cockpit!$G$4="Yes",Cockpit!G163,0)+IF(Cockpit!$H$4="Yes",Cockpit!G165,0)+IF(Cockpit!$I$4="Yes",Cockpit!G167,0)+IF(Cockpit!$J$4="Yes",Cockpit!G169,0)+IF(Cockpit!$D$10="Yes",Cockpit!G326,0)+IF(Cockpit!$F$10="Yes",Cockpit!G328,0)+IF(Cockpit!$G$10="Yes",Cockpit!G330,0)+IF(Cockpit!$H$10="Yes",Cockpit!G332,0)+IF(Cockpit!$I$10="Yes",Cockpit!G334,0)+IF(Cockpit!$J$10="Yes",Cockpit!G336,0)</f>
        <v>54310</v>
      </c>
      <c r="G13" s="263">
        <f>((SUM('Resulting Overall Profits'!$D$10:G10))/10)+IF(Cockpit!$D$4="Yes",Cockpit!H159,0)+IF(Cockpit!$F$4="Yes",Cockpit!H161,0)+IF(Cockpit!$G$4="Yes",Cockpit!H163,0)+IF(Cockpit!$H$4="Yes",Cockpit!H165,0)+IF(Cockpit!$I$4="Yes",Cockpit!H167,0)+IF(Cockpit!$J$4="Yes",Cockpit!H169,0)+IF(Cockpit!$D$10="Yes",Cockpit!H326,0)+IF(Cockpit!$F$10="Yes",Cockpit!H328,0)+IF(Cockpit!$G$10="Yes",Cockpit!H330,0)+IF(Cockpit!$H$10="Yes",Cockpit!H332,0)+IF(Cockpit!$I$10="Yes",Cockpit!H334,0)+IF(Cockpit!$J$10="Yes",Cockpit!H336,0)</f>
        <v>1554310</v>
      </c>
      <c r="H13" s="263">
        <f>((SUM('Resulting Overall Profits'!$D$10:H10))/10)+IF(Cockpit!$D$4="Yes",Cockpit!I159,0)+IF(Cockpit!$F$4="Yes",Cockpit!I161,0)+IF(Cockpit!$G$4="Yes",Cockpit!I163,0)+IF(Cockpit!$H$4="Yes",Cockpit!I165,0)+IF(Cockpit!$I$4="Yes",Cockpit!I167,0)+IF(Cockpit!$J$4="Yes",Cockpit!I169,0)+IF(Cockpit!$D$10="Yes",Cockpit!I326,0)+IF(Cockpit!$F$10="Yes",Cockpit!I328,0)+IF(Cockpit!$G$10="Yes",Cockpit!I330,0)+IF(Cockpit!$H$10="Yes",Cockpit!I332,0)+IF(Cockpit!$I$10="Yes",Cockpit!I334,0)+IF(Cockpit!$J$10="Yes",Cockpit!I336,0)</f>
        <v>1854060</v>
      </c>
      <c r="I13" s="263">
        <f>((SUM('Resulting Overall Profits'!$D$10:I10))/10)+IF(Cockpit!$D$4="Yes",Cockpit!J159,0)+IF(Cockpit!$F$4="Yes",Cockpit!J161,0)+IF(Cockpit!$G$4="Yes",Cockpit!J163,0)+IF(Cockpit!$H$4="Yes",Cockpit!J165,0)+IF(Cockpit!$I$4="Yes",Cockpit!J167,0)+IF(Cockpit!$J$4="Yes",Cockpit!J169,0)+IF(Cockpit!$D$10="Yes",Cockpit!J326,0)+IF(Cockpit!$F$10="Yes",Cockpit!J328,0)+IF(Cockpit!$G$10="Yes",Cockpit!J330,0)+IF(Cockpit!$H$10="Yes",Cockpit!J332,0)+IF(Cockpit!$I$10="Yes",Cockpit!J334,0)+IF(Cockpit!$J$10="Yes",Cockpit!J336,0)</f>
        <v>1979088.75</v>
      </c>
      <c r="J13" s="263">
        <f>((SUM('Resulting Overall Profits'!$D$10:J10))/10)+IF(Cockpit!$D$4="Yes",Cockpit!K159,0)+IF(Cockpit!$F$4="Yes",Cockpit!K161,0)+IF(Cockpit!$G$4="Yes",Cockpit!K163,0)+IF(Cockpit!$H$4="Yes",Cockpit!K165,0)+IF(Cockpit!$I$4="Yes",Cockpit!K167,0)+IF(Cockpit!$J$4="Yes",Cockpit!K169,0)+IF(Cockpit!$D$10="Yes",Cockpit!K326,0)+IF(Cockpit!$F$10="Yes",Cockpit!K328,0)+IF(Cockpit!$G$10="Yes",Cockpit!K330,0)+IF(Cockpit!$H$10="Yes",Cockpit!K332,0)+IF(Cockpit!$I$10="Yes",Cockpit!K334,0)+IF(Cockpit!$J$10="Yes",Cockpit!K336,0)</f>
        <v>2370728.75</v>
      </c>
      <c r="K13" s="263">
        <f>((SUM('Resulting Overall Profits'!$D$10:K10))/10)+IF(Cockpit!$D$4="Yes",Cockpit!L159,0)+IF(Cockpit!$F$4="Yes",Cockpit!L161,0)+IF(Cockpit!$G$4="Yes",Cockpit!L163,0)+IF(Cockpit!$H$4="Yes",Cockpit!L165,0)+IF(Cockpit!$I$4="Yes",Cockpit!L167,0)+IF(Cockpit!$J$4="Yes",Cockpit!L169,0)+IF(Cockpit!$D$10="Yes",Cockpit!L326,0)+IF(Cockpit!$F$10="Yes",Cockpit!L328,0)+IF(Cockpit!$G$10="Yes",Cockpit!L330,0)+IF(Cockpit!$H$10="Yes",Cockpit!L332,0)+IF(Cockpit!$I$10="Yes",Cockpit!L334,0)+IF(Cockpit!$J$10="Yes",Cockpit!L336,0)</f>
        <v>2948228.75</v>
      </c>
      <c r="L13" s="263">
        <f>((SUM('Resulting Overall Profits'!$D$10:L10))/10)+IF(Cockpit!$D$4="Yes",Cockpit!M159,0)+IF(Cockpit!$F$4="Yes",Cockpit!M161,0)+IF(Cockpit!$G$4="Yes",Cockpit!M163,0)+IF(Cockpit!$H$4="Yes",Cockpit!M165,0)+IF(Cockpit!$I$4="Yes",Cockpit!M167,0)+IF(Cockpit!$J$4="Yes",Cockpit!M169,0)+IF(Cockpit!$D$10="Yes",Cockpit!M326,0)+IF(Cockpit!$F$10="Yes",Cockpit!M328,0)+IF(Cockpit!$G$10="Yes",Cockpit!M330,0)+IF(Cockpit!$H$10="Yes",Cockpit!M332,0)+IF(Cockpit!$I$10="Yes",Cockpit!M334,0)+IF(Cockpit!$J$10="Yes",Cockpit!M336,0)</f>
        <v>3824228.75</v>
      </c>
      <c r="M13" s="263">
        <f>((SUM('Resulting Overall Profits'!$D$10:M10))/10)+IF(Cockpit!$D$4="Yes",Cockpit!N159,0)+IF(Cockpit!$F$4="Yes",Cockpit!N161,0)+IF(Cockpit!$G$4="Yes",Cockpit!N163,0)+IF(Cockpit!$H$4="Yes",Cockpit!N165,0)+IF(Cockpit!$I$4="Yes",Cockpit!N167,0)+IF(Cockpit!$J$4="Yes",Cockpit!N169,0)+IF(Cockpit!$D$10="Yes",Cockpit!N326,0)+IF(Cockpit!$F$10="Yes",Cockpit!N328,0)+IF(Cockpit!$G$10="Yes",Cockpit!N330,0)+IF(Cockpit!$H$10="Yes",Cockpit!N332,0)+IF(Cockpit!$I$10="Yes",Cockpit!N334,0)+IF(Cockpit!$J$10="Yes",Cockpit!N336,0)</f>
        <v>4973978.75</v>
      </c>
      <c r="N13" s="263">
        <f>((SUM('Resulting Overall Profits'!$D$10:N10))/10)+IF(Cockpit!$D$4="Yes",Cockpit!O159,0)+IF(Cockpit!$F$4="Yes",Cockpit!O161,0)+IF(Cockpit!$G$4="Yes",Cockpit!O163,0)+IF(Cockpit!$H$4="Yes",Cockpit!O165,0)+IF(Cockpit!$I$4="Yes",Cockpit!O167,0)+IF(Cockpit!$J$4="Yes",Cockpit!O169,0)+IF(Cockpit!$D$10="Yes",Cockpit!O326,0)+IF(Cockpit!$F$10="Yes",Cockpit!O328,0)+IF(Cockpit!$G$10="Yes",Cockpit!O330,0)+IF(Cockpit!$H$10="Yes",Cockpit!O332,0)+IF(Cockpit!$I$10="Yes",Cockpit!O334,0)+IF(Cockpit!$J$10="Yes",Cockpit!O336,0)</f>
        <v>6575416.25</v>
      </c>
      <c r="O13" s="263">
        <f>((SUM('Resulting Overall Profits'!E$10:O10))/10)+IF(Cockpit!$D$4="Yes",Cockpit!P159,0)+IF(Cockpit!$F$4="Yes",Cockpit!P161,0)+IF(Cockpit!$G$4="Yes",Cockpit!P163,0)+IF(Cockpit!$H$4="Yes",Cockpit!P165,0)+IF(Cockpit!$I$4="Yes",Cockpit!P167,0)+IF(Cockpit!$J$4="Yes",Cockpit!P169,0)+IF(Cockpit!$D$10="Yes",Cockpit!P326,0)+IF(Cockpit!$F$10="Yes",Cockpit!P328,0)+IF(Cockpit!$G$10="Yes",Cockpit!P330,0)+IF(Cockpit!$H$10="Yes",Cockpit!P332,0)+IF(Cockpit!$I$10="Yes",Cockpit!P334,0)+IF(Cockpit!$J$10="Yes",Cockpit!P336,0)</f>
        <v>8766476.25</v>
      </c>
      <c r="P13" s="263">
        <f>((SUM('Resulting Overall Profits'!F$10:P10))/10)+IF(Cockpit!$D$4="Yes",Cockpit!Q159,0)+IF(Cockpit!$F$4="Yes",Cockpit!Q161,0)+IF(Cockpit!$G$4="Yes",Cockpit!Q163,0)+IF(Cockpit!$H$4="Yes",Cockpit!Q165,0)+IF(Cockpit!$I$4="Yes",Cockpit!Q167,0)+IF(Cockpit!$J$4="Yes",Cockpit!Q169,0)+IF(Cockpit!$D$10="Yes",Cockpit!Q326,0)+IF(Cockpit!$F$10="Yes",Cockpit!Q328,0)+IF(Cockpit!$G$10="Yes",Cockpit!Q330,0)+IF(Cockpit!$H$10="Yes",Cockpit!Q332,0)+IF(Cockpit!$I$10="Yes",Cockpit!Q334,0)+IF(Cockpit!$J$10="Yes",Cockpit!Q336,0)</f>
        <v>10822776.25</v>
      </c>
      <c r="Q13" s="263">
        <f>((SUM('Resulting Overall Profits'!G$10:Q10))/10)+IF(Cockpit!$D$4="Yes",Cockpit!R159,0)+IF(Cockpit!$F$4="Yes",Cockpit!R161,0)+IF(Cockpit!$G$4="Yes",Cockpit!R163,0)+IF(Cockpit!$H$4="Yes",Cockpit!R165,0)+IF(Cockpit!$I$4="Yes",Cockpit!R167,0)+IF(Cockpit!$J$4="Yes",Cockpit!R169,0)+IF(Cockpit!$D$10="Yes",Cockpit!R326,0)+IF(Cockpit!$F$10="Yes",Cockpit!R328,0)+IF(Cockpit!$G$10="Yes",Cockpit!R330,0)+IF(Cockpit!$H$10="Yes",Cockpit!R332,0)+IF(Cockpit!$I$10="Yes",Cockpit!R334,0)+IF(Cockpit!$J$10="Yes",Cockpit!R336,0)</f>
        <v>13422891.25</v>
      </c>
      <c r="R13" s="263">
        <f>((SUM('Resulting Overall Profits'!H$10:R10))/10)+IF(Cockpit!$D$4="Yes",Cockpit!S159,0)+IF(Cockpit!$F$4="Yes",Cockpit!S161,0)+IF(Cockpit!$G$4="Yes",Cockpit!S163,0)+IF(Cockpit!$H$4="Yes",Cockpit!S165,0)+IF(Cockpit!$I$4="Yes",Cockpit!S167,0)+IF(Cockpit!$J$4="Yes",Cockpit!S169,0)+IF(Cockpit!$D$10="Yes",Cockpit!S326,0)+IF(Cockpit!$F$10="Yes",Cockpit!S328,0)+IF(Cockpit!$G$10="Yes",Cockpit!S330,0)+IF(Cockpit!$H$10="Yes",Cockpit!S332,0)+IF(Cockpit!$I$10="Yes",Cockpit!S334,0)+IF(Cockpit!$J$10="Yes",Cockpit!S336,0)</f>
        <v>15175041.25</v>
      </c>
      <c r="S13" s="263">
        <f>((SUM('Resulting Overall Profits'!I$10:S10))/10)+IF(Cockpit!$D$4="Yes",Cockpit!T159,0)+IF(Cockpit!$F$4="Yes",Cockpit!T161,0)+IF(Cockpit!$G$4="Yes",Cockpit!T163,0)+IF(Cockpit!$H$4="Yes",Cockpit!T165,0)+IF(Cockpit!$I$4="Yes",Cockpit!T167,0)+IF(Cockpit!$J$4="Yes",Cockpit!T169,0)+IF(Cockpit!$D$10="Yes",Cockpit!T326,0)+IF(Cockpit!$F$10="Yes",Cockpit!T328,0)+IF(Cockpit!$G$10="Yes",Cockpit!T330,0)+IF(Cockpit!$H$10="Yes",Cockpit!T332,0)+IF(Cockpit!$I$10="Yes",Cockpit!T334,0)+IF(Cockpit!$J$10="Yes",Cockpit!T336,0)</f>
        <v>19035301.25</v>
      </c>
      <c r="T13" s="263">
        <f>((SUM('Resulting Overall Profits'!J$10:T10))/10)+IF(Cockpit!$D$4="Yes",Cockpit!U159,0)+IF(Cockpit!$F$4="Yes",Cockpit!U161,0)+IF(Cockpit!$G$4="Yes",Cockpit!U163,0)+IF(Cockpit!$H$4="Yes",Cockpit!U165,0)+IF(Cockpit!$I$4="Yes",Cockpit!U167,0)+IF(Cockpit!$J$4="Yes",Cockpit!U169,0)+IF(Cockpit!$D$10="Yes",Cockpit!U326,0)+IF(Cockpit!$F$10="Yes",Cockpit!U328,0)+IF(Cockpit!$G$10="Yes",Cockpit!U330,0)+IF(Cockpit!$H$10="Yes",Cockpit!U332,0)+IF(Cockpit!$I$10="Yes",Cockpit!U334,0)+IF(Cockpit!$J$10="Yes",Cockpit!U336,0)</f>
        <v>24110626.25</v>
      </c>
      <c r="U13" s="263">
        <f>((SUM('Resulting Overall Profits'!K$10:U10))/10)+IF(Cockpit!$D$4="Yes",Cockpit!V159,0)+IF(Cockpit!$F$4="Yes",Cockpit!V161,0)+IF(Cockpit!$G$4="Yes",Cockpit!V163,0)+IF(Cockpit!$H$4="Yes",Cockpit!V165,0)+IF(Cockpit!$I$4="Yes",Cockpit!V167,0)+IF(Cockpit!$J$4="Yes",Cockpit!V169,0)+IF(Cockpit!$D$10="Yes",Cockpit!V326,0)+IF(Cockpit!$F$10="Yes",Cockpit!V328,0)+IF(Cockpit!$G$10="Yes",Cockpit!V330,0)+IF(Cockpit!$H$10="Yes",Cockpit!V332,0)+IF(Cockpit!$I$10="Yes",Cockpit!V334,0)+IF(Cockpit!$J$10="Yes",Cockpit!V336,0)</f>
        <v>30407246.25</v>
      </c>
      <c r="V13" s="263">
        <f>((SUM('Resulting Overall Profits'!L$10:V10))/10)+IF(Cockpit!$D$4="Yes",Cockpit!W159,0)+IF(Cockpit!$F$4="Yes",Cockpit!W161,0)+IF(Cockpit!$G$4="Yes",Cockpit!W163,0)+IF(Cockpit!$H$4="Yes",Cockpit!W165,0)+IF(Cockpit!$I$4="Yes",Cockpit!W167,0)+IF(Cockpit!$J$4="Yes",Cockpit!W169,0)+IF(Cockpit!$D$10="Yes",Cockpit!W326,0)+IF(Cockpit!$F$10="Yes",Cockpit!W328,0)+IF(Cockpit!$G$10="Yes",Cockpit!W330,0)+IF(Cockpit!$H$10="Yes",Cockpit!W332,0)+IF(Cockpit!$I$10="Yes",Cockpit!W334,0)+IF(Cockpit!$J$10="Yes",Cockpit!W336,0)</f>
        <v>37354586.25</v>
      </c>
      <c r="W13" s="263">
        <f>((SUM('Resulting Overall Profits'!M$10:W10))/10)+IF(Cockpit!$D$4="Yes",Cockpit!X159,0)+IF(Cockpit!$F$4="Yes",Cockpit!X161,0)+IF(Cockpit!$G$4="Yes",Cockpit!X163,0)+IF(Cockpit!$H$4="Yes",Cockpit!X165,0)+IF(Cockpit!$I$4="Yes",Cockpit!X167,0)+IF(Cockpit!$J$4="Yes",Cockpit!X169,0)+IF(Cockpit!$D$10="Yes",Cockpit!X326,0)+IF(Cockpit!$F$10="Yes",Cockpit!X328,0)+IF(Cockpit!$G$10="Yes",Cockpit!X330,0)+IF(Cockpit!$H$10="Yes",Cockpit!X332,0)+IF(Cockpit!$I$10="Yes",Cockpit!X334,0)+IF(Cockpit!$J$10="Yes",Cockpit!X336,0)</f>
        <v>45031631.25</v>
      </c>
      <c r="X13" s="263">
        <f>((SUM('Resulting Overall Profits'!N$10:X10))/10)+IF(Cockpit!$D$4="Yes",Cockpit!Y159,0)+IF(Cockpit!$F$4="Yes",Cockpit!Y161,0)+IF(Cockpit!$G$4="Yes",Cockpit!Y163,0)+IF(Cockpit!$H$4="Yes",Cockpit!Y165,0)+IF(Cockpit!$I$4="Yes",Cockpit!Y167,0)+IF(Cockpit!$J$4="Yes",Cockpit!Y169,0)+IF(Cockpit!$D$10="Yes",Cockpit!Y326,0)+IF(Cockpit!$F$10="Yes",Cockpit!Y328,0)+IF(Cockpit!$G$10="Yes",Cockpit!Y330,0)+IF(Cockpit!$H$10="Yes",Cockpit!Y332,0)+IF(Cockpit!$I$10="Yes",Cockpit!Y334,0)+IF(Cockpit!$J$10="Yes",Cockpit!Y336,0)</f>
        <v>53477366.25</v>
      </c>
      <c r="Y13" s="263">
        <f>((SUM('Resulting Overall Profits'!O$10:Y10))/10)+IF(Cockpit!$D$4="Yes",Cockpit!Z159,0)+IF(Cockpit!$F$4="Yes",Cockpit!Z161,0)+IF(Cockpit!$G$4="Yes",Cockpit!Z163,0)+IF(Cockpit!$H$4="Yes",Cockpit!Z165,0)+IF(Cockpit!$I$4="Yes",Cockpit!Z167,0)+IF(Cockpit!$J$4="Yes",Cockpit!Z169,0)+IF(Cockpit!$D$10="Yes",Cockpit!Z326,0)+IF(Cockpit!$F$10="Yes",Cockpit!Z328,0)+IF(Cockpit!$G$10="Yes",Cockpit!Z330,0)+IF(Cockpit!$H$10="Yes",Cockpit!Z332,0)+IF(Cockpit!$I$10="Yes",Cockpit!Z334,0)+IF(Cockpit!$J$10="Yes",Cockpit!Z336,0)</f>
        <v>62760776.25</v>
      </c>
      <c r="Z13" s="263">
        <f>((SUM('Resulting Overall Profits'!P$10:Z10))/10)+IF(Cockpit!$D$4="Yes",Cockpit!AA159,0)+IF(Cockpit!$F$4="Yes",Cockpit!AA161,0)+IF(Cockpit!$G$4="Yes",Cockpit!AA163,0)+IF(Cockpit!$H$4="Yes",Cockpit!AA165,0)+IF(Cockpit!$I$4="Yes",Cockpit!AA167,0)+IF(Cockpit!$J$4="Yes",Cockpit!AA169,0)+IF(Cockpit!$D$10="Yes",Cockpit!AA326,0)+IF(Cockpit!$F$10="Yes",Cockpit!AA328,0)+IF(Cockpit!$G$10="Yes",Cockpit!AA330,0)+IF(Cockpit!$H$10="Yes",Cockpit!AA332,0)+IF(Cockpit!$I$10="Yes",Cockpit!AA334,0)+IF(Cockpit!$J$10="Yes",Cockpit!AA336,0)</f>
        <v>72980411.25</v>
      </c>
      <c r="AA13" s="263">
        <f>((SUM('Resulting Overall Profits'!Q$10:AA10))/10)+IF(Cockpit!$D$4="Yes",Cockpit!AB159,0)+IF(Cockpit!$F$4="Yes",Cockpit!AB161,0)+IF(Cockpit!$G$4="Yes",Cockpit!AB163,0)+IF(Cockpit!$H$4="Yes",Cockpit!AB165,0)+IF(Cockpit!$I$4="Yes",Cockpit!AB167,0)+IF(Cockpit!$J$4="Yes",Cockpit!AB169,0)+IF(Cockpit!$D$10="Yes",Cockpit!AB326,0)+IF(Cockpit!$F$10="Yes",Cockpit!AB328,0)+IF(Cockpit!$G$10="Yes",Cockpit!AB330,0)+IF(Cockpit!$H$10="Yes",Cockpit!AB332,0)+IF(Cockpit!$I$10="Yes",Cockpit!AB334,0)+IF(Cockpit!$J$10="Yes",Cockpit!AB336,0)</f>
        <v>84215111.25</v>
      </c>
      <c r="AB13" s="263">
        <f>((SUM('Resulting Overall Profits'!R$10:AB10))/10)+IF(Cockpit!$D$4="Yes",Cockpit!AC159,0)+IF(Cockpit!$F$4="Yes",Cockpit!AC161,0)+IF(Cockpit!$G$4="Yes",Cockpit!AC163,0)+IF(Cockpit!$H$4="Yes",Cockpit!AC165,0)+IF(Cockpit!$I$4="Yes",Cockpit!AC167,0)+IF(Cockpit!$J$4="Yes",Cockpit!AC169,0)+IF(Cockpit!$D$10="Yes",Cockpit!AC326,0)+IF(Cockpit!$F$10="Yes",Cockpit!AC328,0)+IF(Cockpit!$G$10="Yes",Cockpit!AC330,0)+IF(Cockpit!$H$10="Yes",Cockpit!AC332,0)+IF(Cockpit!$I$10="Yes",Cockpit!AC334,0)+IF(Cockpit!$J$10="Yes",Cockpit!AC336,0)</f>
        <v>96573281.25</v>
      </c>
      <c r="AC13" s="263">
        <f>((SUM('Resulting Overall Profits'!S$10:AC10))/10)+IF(Cockpit!$D$4="Yes",Cockpit!AD159,0)+IF(Cockpit!$F$4="Yes",Cockpit!AD161,0)+IF(Cockpit!$G$4="Yes",Cockpit!AD163,0)+IF(Cockpit!$H$4="Yes",Cockpit!AD165,0)+IF(Cockpit!$I$4="Yes",Cockpit!AD167,0)+IF(Cockpit!$J$4="Yes",Cockpit!AD169,0)+IF(Cockpit!$D$10="Yes",Cockpit!AD326,0)+IF(Cockpit!$F$10="Yes",Cockpit!AD328,0)+IF(Cockpit!$G$10="Yes",Cockpit!AD330,0)+IF(Cockpit!$H$10="Yes",Cockpit!AD332,0)+IF(Cockpit!$I$10="Yes",Cockpit!AD334,0)+IF(Cockpit!$J$10="Yes",Cockpit!AD336,0)</f>
        <v>109948402.5</v>
      </c>
      <c r="AD13" s="263">
        <f>((SUM('Resulting Overall Profits'!T$10:AD10))/10)+IF(Cockpit!$D$4="Yes",Cockpit!AE159,0)+IF(Cockpit!$F$4="Yes",Cockpit!AE161,0)+IF(Cockpit!$G$4="Yes",Cockpit!AE163,0)+IF(Cockpit!$H$4="Yes",Cockpit!AE165,0)+IF(Cockpit!$I$4="Yes",Cockpit!AE167,0)+IF(Cockpit!$J$4="Yes",Cockpit!AE169,0)+IF(Cockpit!$D$10="Yes",Cockpit!AE326,0)+IF(Cockpit!$F$10="Yes",Cockpit!AE328,0)+IF(Cockpit!$G$10="Yes",Cockpit!AE330,0)+IF(Cockpit!$H$10="Yes",Cockpit!AE332,0)+IF(Cockpit!$I$10="Yes",Cockpit!AE334,0)+IF(Cockpit!$J$10="Yes",Cockpit!AE336,0)</f>
        <v>124908292.5</v>
      </c>
      <c r="AE13" t="s">
        <v>201</v>
      </c>
    </row>
    <row r="14" spans="2:31" x14ac:dyDescent="0.25">
      <c r="B14" s="211" t="s">
        <v>202</v>
      </c>
      <c r="C14" s="211"/>
      <c r="D14" s="298">
        <f ca="1">D11-D13-D12</f>
        <v>-649842.23938223906</v>
      </c>
      <c r="E14" s="298">
        <f t="shared" ref="E14:AD14" ca="1" si="0">E11-E13-E12</f>
        <v>-2705621.764478764</v>
      </c>
      <c r="F14" s="298">
        <f t="shared" ca="1" si="0"/>
        <v>-3361980.1930501931</v>
      </c>
      <c r="G14" s="298">
        <f t="shared" ca="1" si="0"/>
        <v>-4831956.0358671136</v>
      </c>
      <c r="H14" s="298">
        <f t="shared" ca="1" si="0"/>
        <v>-5844416.4027871601</v>
      </c>
      <c r="I14" s="298">
        <f t="shared" ca="1" si="0"/>
        <v>-7315704.3412950486</v>
      </c>
      <c r="J14" s="298">
        <f t="shared" ca="1" si="0"/>
        <v>-1623053.8253967776</v>
      </c>
      <c r="K14" s="298">
        <f t="shared" ca="1" si="0"/>
        <v>9037559.7222295217</v>
      </c>
      <c r="L14" s="298">
        <f t="shared" ca="1" si="0"/>
        <v>26064425.71531171</v>
      </c>
      <c r="M14" s="298">
        <f t="shared" ca="1" si="0"/>
        <v>71082837.560332477</v>
      </c>
      <c r="N14" s="298">
        <f t="shared" ca="1" si="0"/>
        <v>117197867.27260269</v>
      </c>
      <c r="O14" s="298">
        <f t="shared" ca="1" si="0"/>
        <v>173568567.37135416</v>
      </c>
      <c r="P14" s="298">
        <f t="shared" ca="1" si="0"/>
        <v>253061843.46835935</v>
      </c>
      <c r="Q14" s="298">
        <f t="shared" ca="1" si="0"/>
        <v>322100997.14638674</v>
      </c>
      <c r="R14" s="298">
        <f t="shared" ca="1" si="0"/>
        <v>404252155.04704589</v>
      </c>
      <c r="S14" s="298">
        <f t="shared" ca="1" si="0"/>
        <v>499918543.22599488</v>
      </c>
      <c r="T14" s="298">
        <f t="shared" ca="1" si="0"/>
        <v>612636805.44811857</v>
      </c>
      <c r="U14" s="298">
        <f t="shared" ca="1" si="0"/>
        <v>719211265.31230545</v>
      </c>
      <c r="V14" s="298">
        <f t="shared" ca="1" si="0"/>
        <v>832815071.51541102</v>
      </c>
      <c r="W14" s="298">
        <f t="shared" ca="1" si="0"/>
        <v>954335901.47023332</v>
      </c>
      <c r="X14" s="298">
        <f t="shared" ca="1" si="0"/>
        <v>1030978142.4571395</v>
      </c>
      <c r="Y14" s="298">
        <f t="shared" ca="1" si="0"/>
        <v>1163465402.6213102</v>
      </c>
      <c r="Z14" s="298">
        <f t="shared" ca="1" si="0"/>
        <v>1305195512.3256292</v>
      </c>
      <c r="AA14" s="298">
        <f t="shared" ca="1" si="0"/>
        <v>1456880943.7697549</v>
      </c>
      <c r="AB14" s="298">
        <f t="shared" ca="1" si="0"/>
        <v>1619263102.7611051</v>
      </c>
      <c r="AC14" s="298">
        <f t="shared" ca="1" si="0"/>
        <v>1793111623.0691688</v>
      </c>
      <c r="AD14" s="298">
        <f t="shared" ca="1" si="0"/>
        <v>1977406616.8507929</v>
      </c>
    </row>
    <row r="15" spans="2:31" x14ac:dyDescent="0.25">
      <c r="B15" s="4" t="s">
        <v>203</v>
      </c>
      <c r="C15" s="4"/>
      <c r="D15" s="299">
        <f ca="1">D14</f>
        <v>-649842.23938223906</v>
      </c>
      <c r="E15" s="17">
        <f t="shared" ref="E15:N15" ca="1" si="1">E14+D15</f>
        <v>-3355464.0038610031</v>
      </c>
      <c r="F15" s="17">
        <f t="shared" ca="1" si="1"/>
        <v>-6717444.1969111962</v>
      </c>
      <c r="G15" s="299">
        <f t="shared" ca="1" si="1"/>
        <v>-11549400.232778311</v>
      </c>
      <c r="H15" s="17">
        <f t="shared" ca="1" si="1"/>
        <v>-17393816.635565471</v>
      </c>
      <c r="I15" s="299">
        <f t="shared" ca="1" si="1"/>
        <v>-24709520.976860519</v>
      </c>
      <c r="J15" s="17">
        <f t="shared" ca="1" si="1"/>
        <v>-26332574.802257296</v>
      </c>
      <c r="K15" s="299">
        <f t="shared" ca="1" si="1"/>
        <v>-17295015.080027774</v>
      </c>
      <c r="L15" s="17">
        <f t="shared" ca="1" si="1"/>
        <v>8769410.6352839358</v>
      </c>
      <c r="M15" s="17">
        <f t="shared" ca="1" si="1"/>
        <v>79852248.195616409</v>
      </c>
      <c r="N15" s="17">
        <f t="shared" ca="1" si="1"/>
        <v>197050115.4682191</v>
      </c>
      <c r="O15" s="17">
        <f t="shared" ref="O15" ca="1" si="2">O14+N15</f>
        <v>370618682.83957326</v>
      </c>
      <c r="P15" s="17">
        <f t="shared" ref="P15" ca="1" si="3">P14+O15</f>
        <v>623680526.30793262</v>
      </c>
      <c r="Q15" s="17">
        <f t="shared" ref="Q15" ca="1" si="4">Q14+P15</f>
        <v>945781523.45431936</v>
      </c>
      <c r="R15" s="17">
        <f t="shared" ref="R15" ca="1" si="5">R14+Q15</f>
        <v>1350033678.5013652</v>
      </c>
      <c r="S15" s="17">
        <f t="shared" ref="S15" ca="1" si="6">S14+R15</f>
        <v>1849952221.72736</v>
      </c>
      <c r="T15" s="17">
        <f t="shared" ref="T15" ca="1" si="7">T14+S15</f>
        <v>2462589027.1754785</v>
      </c>
      <c r="U15" s="17">
        <f t="shared" ref="U15" ca="1" si="8">U14+T15</f>
        <v>3181800292.4877839</v>
      </c>
      <c r="V15" s="17">
        <f t="shared" ref="V15" ca="1" si="9">V14+U15</f>
        <v>4014615364.0031948</v>
      </c>
      <c r="W15" s="17">
        <f t="shared" ref="W15" ca="1" si="10">W14+V15</f>
        <v>4968951265.4734278</v>
      </c>
      <c r="X15" s="17">
        <f t="shared" ref="X15" ca="1" si="11">X14+W15</f>
        <v>5999929407.9305668</v>
      </c>
      <c r="Y15" s="17">
        <f t="shared" ref="Y15" ca="1" si="12">Y14+X15</f>
        <v>7163394810.551877</v>
      </c>
      <c r="Z15" s="17">
        <f t="shared" ref="Z15" ca="1" si="13">Z14+Y15</f>
        <v>8468590322.8775063</v>
      </c>
      <c r="AA15" s="17">
        <f t="shared" ref="AA15" ca="1" si="14">AA14+Z15</f>
        <v>9925471266.6472607</v>
      </c>
      <c r="AB15" s="17">
        <f t="shared" ref="AB15" ca="1" si="15">AB14+AA15</f>
        <v>11544734369.408365</v>
      </c>
      <c r="AC15" s="17">
        <f t="shared" ref="AC15" ca="1" si="16">AC14+AB15</f>
        <v>13337845992.477533</v>
      </c>
      <c r="AD15" s="17">
        <f t="shared" ref="AD15" ca="1" si="17">AD14+AC15</f>
        <v>15315252609.328327</v>
      </c>
    </row>
    <row r="16" spans="2:31" ht="18.600000000000001" customHeight="1" thickBot="1" x14ac:dyDescent="0.3">
      <c r="B16" s="3" t="s">
        <v>343</v>
      </c>
      <c r="C16" s="3"/>
      <c r="D16" s="290"/>
      <c r="E16" s="14">
        <v>0</v>
      </c>
      <c r="F16" s="14">
        <v>0</v>
      </c>
      <c r="G16" s="290">
        <v>0</v>
      </c>
      <c r="H16" s="14">
        <v>0</v>
      </c>
      <c r="I16" s="290">
        <f>'Bank loan'!Q9</f>
        <v>750000</v>
      </c>
      <c r="J16" s="14">
        <f>'Bank loan'!R9</f>
        <v>727318.05960698146</v>
      </c>
      <c r="K16" s="290">
        <f>'Bank loan'!S9</f>
        <v>703502.02219431207</v>
      </c>
      <c r="L16" s="14">
        <f>'Bank loan'!T9</f>
        <v>678495.18291100918</v>
      </c>
      <c r="M16" s="14">
        <f>'Bank loan'!U9</f>
        <v>652238.00166354119</v>
      </c>
      <c r="N16" s="14">
        <f>'Bank loan'!V9</f>
        <v>624667.96135369968</v>
      </c>
      <c r="O16" s="14">
        <f>'Bank loan'!W9</f>
        <v>595719.41902836622</v>
      </c>
      <c r="P16" s="14">
        <f>'Bank loan'!X9</f>
        <v>565323.44958676607</v>
      </c>
      <c r="Q16" s="14">
        <f>'Bank loan'!Y9</f>
        <v>533407.6816730859</v>
      </c>
      <c r="R16" s="14">
        <f>'Bank loan'!Z9</f>
        <v>499896.12536372175</v>
      </c>
      <c r="S16" s="14">
        <f>'Bank loan'!AA9</f>
        <v>464708.99123888928</v>
      </c>
      <c r="T16" s="14">
        <f>'Bank loan'!AB9</f>
        <v>427762.50040781527</v>
      </c>
      <c r="U16" s="14">
        <f>'Bank loan'!AC9</f>
        <v>388968.68503518752</v>
      </c>
      <c r="V16" s="14">
        <f>'Bank loan'!AD9</f>
        <v>348235.17889392842</v>
      </c>
      <c r="W16" s="14">
        <f>'Bank loan'!AE9</f>
        <v>305464.99744560634</v>
      </c>
      <c r="X16" s="14">
        <f>'Bank loan'!AF9</f>
        <v>260556.3069248682</v>
      </c>
      <c r="Y16" s="14">
        <f>'Bank loan'!AG9</f>
        <v>213402.18187809314</v>
      </c>
      <c r="Z16" s="14">
        <f>'Bank loan'!AH9</f>
        <v>163890.3505789793</v>
      </c>
      <c r="AA16" s="14">
        <f>'Bank loan'!AI9</f>
        <v>111902.92771490976</v>
      </c>
      <c r="AB16" s="14">
        <f>'Bank loan'!AJ9</f>
        <v>57316.133707636749</v>
      </c>
      <c r="AC16" s="14">
        <f>'Bank loan'!AK9</f>
        <v>0</v>
      </c>
      <c r="AD16" s="14">
        <f>'Bank loan'!AL9</f>
        <v>0</v>
      </c>
      <c r="AE16" t="s">
        <v>205</v>
      </c>
    </row>
    <row r="17" spans="2:31" ht="18.75" customHeight="1" x14ac:dyDescent="0.25">
      <c r="B17" s="216" t="s">
        <v>208</v>
      </c>
      <c r="C17" s="216"/>
      <c r="D17" s="399">
        <f ca="1">D14-D16+Cockpit!E342</f>
        <v>-649842.23938223906</v>
      </c>
      <c r="E17" s="399">
        <f ca="1">E14-E16+Cockpit!F342</f>
        <v>-2705621.764478764</v>
      </c>
      <c r="F17" s="399">
        <f ca="1">F14-F16+Cockpit!G342</f>
        <v>-3361980.1930501931</v>
      </c>
      <c r="G17" s="399">
        <f ca="1">G14-G16+Cockpit!H342</f>
        <v>-4831956.0358671136</v>
      </c>
      <c r="H17" s="399">
        <f ca="1">H14-H16+Cockpit!I342</f>
        <v>-5844416.4027871601</v>
      </c>
      <c r="I17" s="399">
        <f ca="1">I14-I16+Cockpit!J342</f>
        <v>-8065704.3412950486</v>
      </c>
      <c r="J17" s="399">
        <f ca="1">J14-J16+Cockpit!K342</f>
        <v>-2350371.8850037591</v>
      </c>
      <c r="K17" s="399">
        <f ca="1">K14-K16+Cockpit!L342</f>
        <v>8334057.7000352098</v>
      </c>
      <c r="L17" s="399">
        <f ca="1">L14-L16+Cockpit!M342</f>
        <v>25385930.532400701</v>
      </c>
      <c r="M17" s="399">
        <f ca="1">M14-M16+Cockpit!N342</f>
        <v>70430599.558668941</v>
      </c>
      <c r="N17" s="399">
        <f ca="1">N14-N16+Cockpit!O342</f>
        <v>116573199.31124899</v>
      </c>
      <c r="O17" s="399">
        <f ca="1">O14-O16+Cockpit!P342</f>
        <v>172972847.95232579</v>
      </c>
      <c r="P17" s="399">
        <f ca="1">P14-P16+Cockpit!Q342</f>
        <v>252496520.01877257</v>
      </c>
      <c r="Q17" s="399">
        <f ca="1">Q14-Q16+Cockpit!R342</f>
        <v>321567589.46471363</v>
      </c>
      <c r="R17" s="399">
        <f ca="1">R14-R16+Cockpit!S342</f>
        <v>403752258.92168218</v>
      </c>
      <c r="S17" s="399">
        <f ca="1">S14-S16+Cockpit!T342</f>
        <v>499453834.23475599</v>
      </c>
      <c r="T17" s="399">
        <f ca="1">T14-T16+Cockpit!U342</f>
        <v>612209042.94771075</v>
      </c>
      <c r="U17" s="399">
        <f ca="1">U14-U16+Cockpit!V342</f>
        <v>718822296.62727022</v>
      </c>
      <c r="V17" s="399">
        <f ca="1">V14-V16+Cockpit!W342</f>
        <v>832466836.3365171</v>
      </c>
      <c r="W17" s="399">
        <f ca="1">W14-W16+Cockpit!X342</f>
        <v>954030436.47278774</v>
      </c>
      <c r="X17" s="399">
        <f ca="1">X14-X16+Cockpit!Y342</f>
        <v>1030717586.1502147</v>
      </c>
      <c r="Y17" s="399">
        <f ca="1">Y14-Y16+Cockpit!Z342</f>
        <v>1163252000.4394321</v>
      </c>
      <c r="Z17" s="399">
        <f ca="1">Z14-Z16+Cockpit!AA342</f>
        <v>1305031621.9750502</v>
      </c>
      <c r="AA17" s="399">
        <f ca="1">AA14-AA16+Cockpit!AB342</f>
        <v>1456769040.8420401</v>
      </c>
      <c r="AB17" s="399">
        <f ca="1">AB14-AB16+Cockpit!AC342</f>
        <v>1619205786.6273975</v>
      </c>
      <c r="AC17" s="399">
        <f ca="1">AC14-AC16+Cockpit!AD342</f>
        <v>1793111623.0691688</v>
      </c>
      <c r="AD17" s="399">
        <f ca="1">AD14-AD16+Cockpit!AE342</f>
        <v>1977406616.8507929</v>
      </c>
    </row>
    <row r="18" spans="2:31" ht="16.5" customHeight="1" thickBot="1" x14ac:dyDescent="0.3">
      <c r="B18" s="3" t="s">
        <v>209</v>
      </c>
      <c r="C18" s="3"/>
      <c r="D18" s="14">
        <f t="shared" ref="D18:M18" ca="1" si="18">IF(D17&lt;0, 0, D17*0.22)</f>
        <v>0</v>
      </c>
      <c r="E18" s="14">
        <f t="shared" ca="1" si="18"/>
        <v>0</v>
      </c>
      <c r="F18" s="14">
        <f t="shared" ca="1" si="18"/>
        <v>0</v>
      </c>
      <c r="G18" s="290">
        <f t="shared" ca="1" si="18"/>
        <v>0</v>
      </c>
      <c r="H18" s="14">
        <f t="shared" ca="1" si="18"/>
        <v>0</v>
      </c>
      <c r="I18" s="290">
        <f t="shared" ca="1" si="18"/>
        <v>0</v>
      </c>
      <c r="J18" s="14">
        <f t="shared" ca="1" si="18"/>
        <v>0</v>
      </c>
      <c r="K18" s="290">
        <f t="shared" ca="1" si="18"/>
        <v>1833492.6940077462</v>
      </c>
      <c r="L18" s="14">
        <f t="shared" ca="1" si="18"/>
        <v>5584904.7171281539</v>
      </c>
      <c r="M18" s="14">
        <f t="shared" ca="1" si="18"/>
        <v>15494731.902907167</v>
      </c>
      <c r="N18" s="14">
        <f ca="1">IF(N17&lt;0, 0, N17*0.22)</f>
        <v>25646103.848474778</v>
      </c>
      <c r="O18" s="14">
        <f t="shared" ref="O18:AD18" ca="1" si="19">IF(O17&lt;0, 0, O17*0.22)</f>
        <v>38054026.549511671</v>
      </c>
      <c r="P18" s="14">
        <f t="shared" ca="1" si="19"/>
        <v>55549234.404129967</v>
      </c>
      <c r="Q18" s="14">
        <f t="shared" ca="1" si="19"/>
        <v>70744869.682236999</v>
      </c>
      <c r="R18" s="14">
        <f t="shared" ca="1" si="19"/>
        <v>88825496.962770075</v>
      </c>
      <c r="S18" s="14">
        <f t="shared" ca="1" si="19"/>
        <v>109879843.53164633</v>
      </c>
      <c r="T18" s="14">
        <f t="shared" ca="1" si="19"/>
        <v>134685989.44849637</v>
      </c>
      <c r="U18" s="14">
        <f t="shared" ca="1" si="19"/>
        <v>158140905.25799945</v>
      </c>
      <c r="V18" s="14">
        <f t="shared" ca="1" si="19"/>
        <v>183142703.99403375</v>
      </c>
      <c r="W18" s="14">
        <f t="shared" ca="1" si="19"/>
        <v>209886696.02401331</v>
      </c>
      <c r="X18" s="14">
        <f t="shared" ca="1" si="19"/>
        <v>226757868.95304722</v>
      </c>
      <c r="Y18" s="14">
        <f t="shared" ca="1" si="19"/>
        <v>255915440.09667507</v>
      </c>
      <c r="Z18" s="14">
        <f t="shared" ca="1" si="19"/>
        <v>287106956.83451104</v>
      </c>
      <c r="AA18" s="14">
        <f t="shared" ca="1" si="19"/>
        <v>320489188.9852488</v>
      </c>
      <c r="AB18" s="14">
        <f t="shared" ca="1" si="19"/>
        <v>356225273.05802745</v>
      </c>
      <c r="AC18" s="14">
        <f ca="1">IF(AC17&lt;0, 0, AC17*0.22)</f>
        <v>394484557.07521713</v>
      </c>
      <c r="AD18" s="14">
        <f t="shared" ca="1" si="19"/>
        <v>435029455.70717442</v>
      </c>
      <c r="AE18" t="s">
        <v>210</v>
      </c>
    </row>
    <row r="19" spans="2:31" ht="16.5" thickBot="1" x14ac:dyDescent="0.3">
      <c r="B19" s="209" t="s">
        <v>211</v>
      </c>
      <c r="C19" s="209"/>
      <c r="D19" s="300">
        <f ca="1">D17-D18</f>
        <v>-649842.23938223906</v>
      </c>
      <c r="E19" s="214">
        <f t="shared" ref="E19:N19" ca="1" si="20">E17-E18</f>
        <v>-2705621.764478764</v>
      </c>
      <c r="F19" s="214">
        <f t="shared" ca="1" si="20"/>
        <v>-3361980.1930501931</v>
      </c>
      <c r="G19" s="300">
        <f t="shared" ca="1" si="20"/>
        <v>-4831956.0358671136</v>
      </c>
      <c r="H19" s="214">
        <f t="shared" ca="1" si="20"/>
        <v>-5844416.4027871601</v>
      </c>
      <c r="I19" s="300">
        <f t="shared" ca="1" si="20"/>
        <v>-8065704.3412950486</v>
      </c>
      <c r="J19" s="214">
        <f t="shared" ca="1" si="20"/>
        <v>-2350371.8850037591</v>
      </c>
      <c r="K19" s="300">
        <f t="shared" ca="1" si="20"/>
        <v>6500565.0060274638</v>
      </c>
      <c r="L19" s="214">
        <f t="shared" ca="1" si="20"/>
        <v>19801025.815272547</v>
      </c>
      <c r="M19" s="214">
        <f t="shared" ca="1" si="20"/>
        <v>54935867.655761778</v>
      </c>
      <c r="N19" s="214">
        <f t="shared" ca="1" si="20"/>
        <v>90927095.462774217</v>
      </c>
      <c r="O19" s="214">
        <f t="shared" ref="O19:AD19" ca="1" si="21">O17-O18</f>
        <v>134918821.40281412</v>
      </c>
      <c r="P19" s="214">
        <f t="shared" ca="1" si="21"/>
        <v>196947285.61464262</v>
      </c>
      <c r="Q19" s="214">
        <f t="shared" ca="1" si="21"/>
        <v>250822719.78247663</v>
      </c>
      <c r="R19" s="214">
        <f t="shared" ca="1" si="21"/>
        <v>314926761.95891213</v>
      </c>
      <c r="S19" s="214">
        <f t="shared" ca="1" si="21"/>
        <v>389573990.70310968</v>
      </c>
      <c r="T19" s="214">
        <f t="shared" ca="1" si="21"/>
        <v>477523053.49921441</v>
      </c>
      <c r="U19" s="214">
        <f t="shared" ca="1" si="21"/>
        <v>560681391.3692708</v>
      </c>
      <c r="V19" s="214">
        <f t="shared" ca="1" si="21"/>
        <v>649324132.34248328</v>
      </c>
      <c r="W19" s="214">
        <f t="shared" ca="1" si="21"/>
        <v>744143740.44877446</v>
      </c>
      <c r="X19" s="214">
        <f t="shared" ca="1" si="21"/>
        <v>803959717.1971674</v>
      </c>
      <c r="Y19" s="214">
        <f t="shared" ca="1" si="21"/>
        <v>907336560.34275711</v>
      </c>
      <c r="Z19" s="214">
        <f t="shared" ca="1" si="21"/>
        <v>1017924665.1405392</v>
      </c>
      <c r="AA19" s="214">
        <f t="shared" ca="1" si="21"/>
        <v>1136279851.8567913</v>
      </c>
      <c r="AB19" s="214">
        <f t="shared" ca="1" si="21"/>
        <v>1262980513.56937</v>
      </c>
      <c r="AC19" s="214">
        <f t="shared" ca="1" si="21"/>
        <v>1398627065.9939518</v>
      </c>
      <c r="AD19" s="214">
        <f t="shared" ca="1" si="21"/>
        <v>1542377161.1436186</v>
      </c>
    </row>
    <row r="20" spans="2:31" s="3" customFormat="1" ht="16.5" thickBot="1" x14ac:dyDescent="0.3">
      <c r="B20" s="209" t="s">
        <v>214</v>
      </c>
      <c r="C20" s="4"/>
      <c r="D20" s="301">
        <f t="shared" ref="D20:AD20" ca="1" si="22">D19+D13</f>
        <v>-620242.23938223906</v>
      </c>
      <c r="E20" s="221">
        <f t="shared" ca="1" si="22"/>
        <v>-2652916.764478764</v>
      </c>
      <c r="F20" s="221">
        <f t="shared" ca="1" si="22"/>
        <v>-3307670.1930501931</v>
      </c>
      <c r="G20" s="301">
        <f t="shared" ca="1" si="22"/>
        <v>-3277646.0358671136</v>
      </c>
      <c r="H20" s="221">
        <f t="shared" ca="1" si="22"/>
        <v>-3990356.4027871601</v>
      </c>
      <c r="I20" s="301">
        <f t="shared" ca="1" si="22"/>
        <v>-6086615.5912950486</v>
      </c>
      <c r="J20" s="221">
        <f t="shared" ca="1" si="22"/>
        <v>20356.86499624094</v>
      </c>
      <c r="K20" s="301">
        <f t="shared" ca="1" si="22"/>
        <v>9448793.7560274638</v>
      </c>
      <c r="L20" s="221">
        <f t="shared" ca="1" si="22"/>
        <v>23625254.565272547</v>
      </c>
      <c r="M20" s="221">
        <f t="shared" ca="1" si="22"/>
        <v>59909846.405761778</v>
      </c>
      <c r="N20" s="221">
        <f t="shared" ca="1" si="22"/>
        <v>97502511.712774217</v>
      </c>
      <c r="O20" s="221">
        <f t="shared" ca="1" si="22"/>
        <v>143685297.65281412</v>
      </c>
      <c r="P20" s="221">
        <f t="shared" ca="1" si="22"/>
        <v>207770061.86464262</v>
      </c>
      <c r="Q20" s="221">
        <f t="shared" ca="1" si="22"/>
        <v>264245611.03247663</v>
      </c>
      <c r="R20" s="221">
        <f t="shared" ca="1" si="22"/>
        <v>330101803.20891213</v>
      </c>
      <c r="S20" s="221">
        <f t="shared" ca="1" si="22"/>
        <v>408609291.95310968</v>
      </c>
      <c r="T20" s="221">
        <f t="shared" ca="1" si="22"/>
        <v>501633679.74921441</v>
      </c>
      <c r="U20" s="221">
        <f t="shared" ca="1" si="22"/>
        <v>591088637.6192708</v>
      </c>
      <c r="V20" s="221">
        <f t="shared" ca="1" si="22"/>
        <v>686678718.59248328</v>
      </c>
      <c r="W20" s="221">
        <f t="shared" ca="1" si="22"/>
        <v>789175371.69877446</v>
      </c>
      <c r="X20" s="221">
        <f t="shared" ca="1" si="22"/>
        <v>857437083.4471674</v>
      </c>
      <c r="Y20" s="221">
        <f t="shared" ca="1" si="22"/>
        <v>970097336.59275711</v>
      </c>
      <c r="Z20" s="221">
        <f t="shared" ca="1" si="22"/>
        <v>1090905076.3905392</v>
      </c>
      <c r="AA20" s="221">
        <f t="shared" ca="1" si="22"/>
        <v>1220494963.1067913</v>
      </c>
      <c r="AB20" s="221">
        <f t="shared" ca="1" si="22"/>
        <v>1359553794.81937</v>
      </c>
      <c r="AC20" s="221">
        <f t="shared" ca="1" si="22"/>
        <v>1508575468.4939518</v>
      </c>
      <c r="AD20" s="221">
        <f t="shared" ca="1" si="22"/>
        <v>1667285453.6436186</v>
      </c>
    </row>
    <row r="21" spans="2:31" x14ac:dyDescent="0.25">
      <c r="B21" s="216" t="s">
        <v>215</v>
      </c>
      <c r="C21" s="3"/>
      <c r="D21" s="302">
        <f t="shared" ref="D21:AD21" ca="1" si="23">D19-D10-D9+D13</f>
        <v>-916242.23938223906</v>
      </c>
      <c r="E21" s="302">
        <f t="shared" ca="1" si="23"/>
        <v>-2883966.764478764</v>
      </c>
      <c r="F21" s="302">
        <f t="shared" ca="1" si="23"/>
        <v>-3323720.1930501931</v>
      </c>
      <c r="G21" s="302">
        <f t="shared" ca="1" si="23"/>
        <v>-20272646.035867114</v>
      </c>
      <c r="H21" s="302">
        <f t="shared" ca="1" si="23"/>
        <v>-8490931.4027871601</v>
      </c>
      <c r="I21" s="302">
        <f t="shared" ca="1" si="23"/>
        <v>-12919415.591295049</v>
      </c>
      <c r="J21" s="302">
        <f t="shared" ca="1" si="23"/>
        <v>-11429643.135003759</v>
      </c>
      <c r="K21" s="302">
        <f t="shared" ca="1" si="23"/>
        <v>-8371206.2439725362</v>
      </c>
      <c r="L21" s="302">
        <f t="shared" ca="1" si="23"/>
        <v>630254.56527254358</v>
      </c>
      <c r="M21" s="302">
        <f t="shared" ca="1" si="23"/>
        <v>27881096.405761778</v>
      </c>
      <c r="N21" s="302">
        <f t="shared" ca="1" si="23"/>
        <v>53089311.712774217</v>
      </c>
      <c r="O21" s="302">
        <f t="shared" ca="1" si="23"/>
        <v>102097197.65281412</v>
      </c>
      <c r="P21" s="302">
        <f t="shared" ca="1" si="23"/>
        <v>155735661.86464262</v>
      </c>
      <c r="Q21" s="302">
        <f t="shared" ca="1" si="23"/>
        <v>199202611.03247663</v>
      </c>
      <c r="R21" s="302">
        <f t="shared" ca="1" si="23"/>
        <v>248896603.20891213</v>
      </c>
      <c r="S21" s="302">
        <f t="shared" ca="1" si="23"/>
        <v>307102791.95310968</v>
      </c>
      <c r="T21" s="302">
        <f t="shared" ca="1" si="23"/>
        <v>374701279.74921441</v>
      </c>
      <c r="U21" s="302">
        <f t="shared" ca="1" si="23"/>
        <v>451541837.6192708</v>
      </c>
      <c r="V21" s="302">
        <f t="shared" ca="1" si="23"/>
        <v>533137818.59248328</v>
      </c>
      <c r="W21" s="302">
        <f t="shared" ca="1" si="23"/>
        <v>620260671.69877446</v>
      </c>
      <c r="X21" s="302">
        <f t="shared" ca="1" si="23"/>
        <v>671768883.4471674</v>
      </c>
      <c r="Y21" s="302">
        <f t="shared" ca="1" si="23"/>
        <v>765704636.59275711</v>
      </c>
      <c r="Z21" s="302">
        <f t="shared" ca="1" si="23"/>
        <v>866211076.39053917</v>
      </c>
      <c r="AA21" s="302">
        <f t="shared" ca="1" si="23"/>
        <v>973331563.10679126</v>
      </c>
      <c r="AB21" s="302">
        <f t="shared" ca="1" si="23"/>
        <v>1087555794.81937</v>
      </c>
      <c r="AC21" s="302">
        <f t="shared" ca="1" si="23"/>
        <v>1209377668.4939518</v>
      </c>
      <c r="AD21" s="302">
        <f t="shared" ca="1" si="23"/>
        <v>1338128453.6436186</v>
      </c>
    </row>
    <row r="22" spans="2:31" x14ac:dyDescent="0.25">
      <c r="B22" s="3" t="s">
        <v>327</v>
      </c>
      <c r="C22" s="3"/>
      <c r="D22" s="302">
        <f>Cockpit!E344+Cockpit!E346+Cockpit!E343-Cockpit!E345</f>
        <v>4746587.692307692</v>
      </c>
      <c r="E22" s="302">
        <f>Cockpit!F344+Cockpit!F346+Cockpit!F343-Cockpit!F345</f>
        <v>1206305.75</v>
      </c>
      <c r="F22" s="302">
        <f>Cockpit!G344+Cockpit!G346+Cockpit!G343-Cockpit!G345</f>
        <v>12952070</v>
      </c>
      <c r="G22" s="302">
        <f>Cockpit!H344+Cockpit!H346+Cockpit!H343-Cockpit!H345</f>
        <v>15000000</v>
      </c>
      <c r="H22" s="302">
        <f>Cockpit!I344+Cockpit!I346+Cockpit!I343-Cockpit!I345</f>
        <v>20000000</v>
      </c>
      <c r="I22" s="302">
        <f>Cockpit!J344+Cockpit!J346+Cockpit!J343-Cockpit!J345</f>
        <v>-453638.80786036979</v>
      </c>
      <c r="J22" s="302">
        <f>Cockpit!K344+Cockpit!K346+Cockpit!K343-Cockpit!K345</f>
        <v>-476320.74825338833</v>
      </c>
      <c r="K22" s="302">
        <f>Cockpit!L344+Cockpit!L346+Cockpit!L343-Cockpit!L345</f>
        <v>-500136.78566605772</v>
      </c>
      <c r="L22" s="302">
        <f>Cockpit!M344+Cockpit!M346+Cockpit!M343-Cockpit!M345</f>
        <v>-525143.62494936062</v>
      </c>
      <c r="M22" s="302">
        <f>Cockpit!N344+Cockpit!N346+Cockpit!N343-Cockpit!N345</f>
        <v>-551400.80619682861</v>
      </c>
      <c r="N22" s="302">
        <f>Cockpit!O344+Cockpit!O346+Cockpit!O343-Cockpit!O345</f>
        <v>-578970.84650667012</v>
      </c>
      <c r="O22" s="302">
        <f>Cockpit!P344+Cockpit!P346+Cockpit!P343-Cockpit!P345</f>
        <v>-607919.38883200358</v>
      </c>
      <c r="P22" s="302">
        <f>Cockpit!Q344+Cockpit!Q346+Cockpit!Q343-Cockpit!Q345</f>
        <v>-638315.35827360372</v>
      </c>
      <c r="Q22" s="302">
        <f>Cockpit!R344+Cockpit!R346+Cockpit!R343-Cockpit!R345</f>
        <v>-670231.12618728389</v>
      </c>
      <c r="R22" s="302">
        <f>Cockpit!S344+Cockpit!S346+Cockpit!S343-Cockpit!S345</f>
        <v>-703742.68249664805</v>
      </c>
      <c r="S22" s="302">
        <f>Cockpit!T344+Cockpit!T346+Cockpit!T343-Cockpit!T345</f>
        <v>-738929.81662148051</v>
      </c>
      <c r="T22" s="302">
        <f>Cockpit!U344+Cockpit!U346+Cockpit!U343-Cockpit!U345</f>
        <v>-775876.30745255458</v>
      </c>
      <c r="U22" s="302">
        <f>Cockpit!V344+Cockpit!V346+Cockpit!V343-Cockpit!V345</f>
        <v>-814670.12282518228</v>
      </c>
      <c r="V22" s="302">
        <f>Cockpit!W344+Cockpit!W346+Cockpit!W343-Cockpit!W345</f>
        <v>-855403.62896644138</v>
      </c>
      <c r="W22" s="302">
        <f>Cockpit!X344+Cockpit!X346+Cockpit!X343-Cockpit!X345</f>
        <v>-898173.8104147634</v>
      </c>
      <c r="X22" s="302">
        <f>Cockpit!Y344+Cockpit!Y346+Cockpit!Y343-Cockpit!Y345</f>
        <v>-943082.50093550165</v>
      </c>
      <c r="Y22" s="302">
        <f>Cockpit!Z344+Cockpit!Z346+Cockpit!Z343-Cockpit!Z345</f>
        <v>-990236.62598227663</v>
      </c>
      <c r="Z22" s="302">
        <f>Cockpit!AA344+Cockpit!AA346+Cockpit!AA343-Cockpit!AA345</f>
        <v>-1039748.4572813904</v>
      </c>
      <c r="AA22" s="302">
        <f>Cockpit!AB344+Cockpit!AB346+Cockpit!AB343-Cockpit!AB345</f>
        <v>-1091735.8801454601</v>
      </c>
      <c r="AB22" s="302">
        <f>Cockpit!AC344+Cockpit!AC346+Cockpit!AC343-Cockpit!AC345</f>
        <v>-1146322.6741527331</v>
      </c>
      <c r="AC22" s="302">
        <f>Cockpit!AD344+Cockpit!AD346+Cockpit!AD343-Cockpit!AD345</f>
        <v>0</v>
      </c>
      <c r="AD22" s="302">
        <f>Cockpit!AE344+Cockpit!AE346+Cockpit!AE343-Cockpit!AE345</f>
        <v>0</v>
      </c>
    </row>
    <row r="23" spans="2:31" s="3" customFormat="1" x14ac:dyDescent="0.25">
      <c r="B23" s="3" t="s">
        <v>220</v>
      </c>
      <c r="D23" s="303">
        <f ca="1">D21+D22</f>
        <v>3830345.452925453</v>
      </c>
      <c r="E23" s="248">
        <f ca="1">D23+E21+E22</f>
        <v>2152684.4384466889</v>
      </c>
      <c r="F23" s="248">
        <f t="shared" ref="F23:N23" ca="1" si="24">E23+F21+F22</f>
        <v>11781034.245396495</v>
      </c>
      <c r="G23" s="248">
        <f t="shared" ca="1" si="24"/>
        <v>6508388.2095293812</v>
      </c>
      <c r="H23" s="248">
        <f t="shared" ca="1" si="24"/>
        <v>18017456.806742221</v>
      </c>
      <c r="I23" s="248">
        <f t="shared" ca="1" si="24"/>
        <v>4644402.4075868027</v>
      </c>
      <c r="J23" s="248">
        <f t="shared" ca="1" si="24"/>
        <v>-7261561.4756703442</v>
      </c>
      <c r="K23" s="248">
        <f t="shared" ca="1" si="24"/>
        <v>-16132904.505308939</v>
      </c>
      <c r="L23" s="248">
        <f t="shared" ca="1" si="24"/>
        <v>-16027793.564985756</v>
      </c>
      <c r="M23" s="248">
        <f t="shared" ca="1" si="24"/>
        <v>11301902.034579193</v>
      </c>
      <c r="N23" s="248">
        <f t="shared" ca="1" si="24"/>
        <v>63812242.900846742</v>
      </c>
      <c r="O23" s="248">
        <f t="shared" ref="O23" ca="1" si="25">N23+O21+O22</f>
        <v>165301521.16482887</v>
      </c>
      <c r="P23" s="248">
        <f t="shared" ref="P23" ca="1" si="26">O23+P21+P22</f>
        <v>320398867.67119789</v>
      </c>
      <c r="Q23" s="248">
        <f t="shared" ref="Q23" ca="1" si="27">P23+Q21+Q22</f>
        <v>518931247.57748729</v>
      </c>
      <c r="R23" s="248">
        <f t="shared" ref="R23" ca="1" si="28">Q23+R21+R22</f>
        <v>767124108.1039027</v>
      </c>
      <c r="S23" s="248">
        <f t="shared" ref="S23" ca="1" si="29">R23+S21+S22</f>
        <v>1073487970.2403909</v>
      </c>
      <c r="T23" s="248">
        <f t="shared" ref="T23" ca="1" si="30">S23+T21+T22</f>
        <v>1447413373.682153</v>
      </c>
      <c r="U23" s="248">
        <f t="shared" ref="U23" ca="1" si="31">T23+U21+U22</f>
        <v>1898140541.1785986</v>
      </c>
      <c r="V23" s="248">
        <f t="shared" ref="V23" ca="1" si="32">U23+V21+V22</f>
        <v>2430422956.1421156</v>
      </c>
      <c r="W23" s="248">
        <f t="shared" ref="W23" ca="1" si="33">V23+W21+W22</f>
        <v>3049785454.0304751</v>
      </c>
      <c r="X23" s="248">
        <f t="shared" ref="X23" ca="1" si="34">W23+X21+X22</f>
        <v>3720611254.976707</v>
      </c>
      <c r="Y23" s="248">
        <f t="shared" ref="Y23" ca="1" si="35">X23+Y21+Y22</f>
        <v>4485325654.9434814</v>
      </c>
      <c r="Z23" s="248">
        <f t="shared" ref="Z23" ca="1" si="36">Y23+Z21+Z22</f>
        <v>5350496982.8767395</v>
      </c>
      <c r="AA23" s="248">
        <f t="shared" ref="AA23" ca="1" si="37">Z23+AA21+AA22</f>
        <v>6322736810.1033859</v>
      </c>
      <c r="AB23" s="248">
        <f t="shared" ref="AB23" ca="1" si="38">AA23+AB21+AB22</f>
        <v>7409146282.2486038</v>
      </c>
      <c r="AC23" s="248">
        <f t="shared" ref="AC23" ca="1" si="39">AB23+AC21+AC22</f>
        <v>8618523950.7425556</v>
      </c>
      <c r="AD23" s="248">
        <f ca="1">AC23+AD21+AD22</f>
        <v>9956652404.3861732</v>
      </c>
    </row>
    <row r="24" spans="2:31" x14ac:dyDescent="0.25">
      <c r="E24" s="202"/>
    </row>
    <row r="25" spans="2:31" x14ac:dyDescent="0.25">
      <c r="E25" s="202"/>
    </row>
    <row r="31" spans="2:31" x14ac:dyDescent="0.25">
      <c r="K31" s="54"/>
    </row>
  </sheetData>
  <conditionalFormatting sqref="B4">
    <cfRule type="cellIs" dxfId="10" priority="1" operator="equal">
      <formula>"Parameters"</formula>
    </cfRule>
  </conditionalFormatting>
  <conditionalFormatting sqref="B4">
    <cfRule type="cellIs" dxfId="9" priority="2" operator="equal">
      <formula>"Profit result"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2DF3-3563-4B61-9543-3CC49C0908C7}">
  <sheetPr>
    <tabColor rgb="FFFF8A00"/>
  </sheetPr>
  <dimension ref="B1:L45"/>
  <sheetViews>
    <sheetView topLeftCell="A5" zoomScale="83" zoomScaleNormal="40" workbookViewId="0">
      <selection activeCell="J22" sqref="J22"/>
    </sheetView>
  </sheetViews>
  <sheetFormatPr defaultColWidth="8.875" defaultRowHeight="15.75" x14ac:dyDescent="0.25"/>
  <cols>
    <col min="1" max="1" width="2.625" customWidth="1"/>
  </cols>
  <sheetData>
    <row r="1" spans="2:2" ht="16.5" thickBot="1" x14ac:dyDescent="0.3"/>
    <row r="2" spans="2:2" ht="23.25" x14ac:dyDescent="0.35">
      <c r="B2" s="316" t="s">
        <v>350</v>
      </c>
    </row>
    <row r="44" spans="2:12" ht="16.5" thickBot="1" x14ac:dyDescent="0.3"/>
    <row r="45" spans="2:12" ht="23.25" x14ac:dyDescent="0.35">
      <c r="B45" s="316" t="s">
        <v>300</v>
      </c>
      <c r="L45" s="316" t="s">
        <v>310</v>
      </c>
    </row>
  </sheetData>
  <conditionalFormatting sqref="B45">
    <cfRule type="cellIs" dxfId="8" priority="3" operator="equal">
      <formula>"Parameters"</formula>
    </cfRule>
  </conditionalFormatting>
  <conditionalFormatting sqref="L45">
    <cfRule type="cellIs" dxfId="7" priority="2" operator="equal">
      <formula>"Parameters"</formula>
    </cfRule>
  </conditionalFormatting>
  <conditionalFormatting sqref="B2">
    <cfRule type="cellIs" dxfId="6" priority="1" operator="equal">
      <formula>"Parameters"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7D16-A83D-4983-AC14-55553A285A67}">
  <sheetPr codeName="Sheet8">
    <tabColor rgb="FF2C7C30"/>
  </sheetPr>
  <dimension ref="A1"/>
  <sheetViews>
    <sheetView workbookViewId="0"/>
  </sheetViews>
  <sheetFormatPr defaultColWidth="8.875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3FCBE-2FB7-4B91-B58C-D88B3CAC3C32}">
  <sheetPr codeName="Sheet3">
    <tabColor rgb="FFB5E5B7"/>
  </sheetPr>
  <dimension ref="A1:AE204"/>
  <sheetViews>
    <sheetView zoomScale="85" workbookViewId="0">
      <selection activeCell="C15" sqref="C15"/>
    </sheetView>
  </sheetViews>
  <sheetFormatPr defaultColWidth="10.875" defaultRowHeight="15.75" x14ac:dyDescent="0.25"/>
  <cols>
    <col min="1" max="1" width="72.375" style="1" customWidth="1"/>
    <col min="2" max="2" width="14.5" style="1" customWidth="1"/>
    <col min="3" max="14" width="13.625" style="1" customWidth="1"/>
    <col min="15" max="23" width="10.875" style="1" customWidth="1"/>
    <col min="24" max="16384" width="10.875" style="1"/>
  </cols>
  <sheetData>
    <row r="1" spans="1:16" x14ac:dyDescent="0.25">
      <c r="A1" t="s">
        <v>0</v>
      </c>
    </row>
    <row r="2" spans="1:16" x14ac:dyDescent="0.25">
      <c r="C2" s="7">
        <v>2028</v>
      </c>
      <c r="E2" s="31">
        <v>2029</v>
      </c>
      <c r="F2" s="31"/>
      <c r="G2" s="31">
        <v>2030</v>
      </c>
      <c r="H2" s="31"/>
      <c r="I2" s="31">
        <v>2031</v>
      </c>
      <c r="J2" s="31"/>
      <c r="K2" s="31">
        <v>2032</v>
      </c>
      <c r="M2" s="31">
        <v>2033</v>
      </c>
      <c r="N2" s="31"/>
      <c r="O2" s="31">
        <v>2034</v>
      </c>
      <c r="P2" s="31"/>
    </row>
    <row r="3" spans="1:16" x14ac:dyDescent="0.25">
      <c r="A3" s="3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x14ac:dyDescent="0.25">
      <c r="A4" t="s">
        <v>16</v>
      </c>
      <c r="B4" t="s">
        <v>17</v>
      </c>
      <c r="C4" s="35" t="e">
        <f>#REF!</f>
        <v>#REF!</v>
      </c>
      <c r="D4" s="36"/>
      <c r="E4" s="36" t="e">
        <f>#REF!</f>
        <v>#REF!</v>
      </c>
      <c r="F4" s="36" t="e">
        <f>#REF!</f>
        <v>#REF!</v>
      </c>
      <c r="G4" s="36" t="e">
        <f>#REF!</f>
        <v>#REF!</v>
      </c>
      <c r="H4" s="36" t="e">
        <f>#REF!</f>
        <v>#REF!</v>
      </c>
      <c r="I4" s="36" t="e">
        <f>#REF!</f>
        <v>#REF!</v>
      </c>
      <c r="J4" s="36" t="e">
        <f>#REF!</f>
        <v>#REF!</v>
      </c>
      <c r="K4" s="36" t="e">
        <f>#REF!</f>
        <v>#REF!</v>
      </c>
      <c r="L4" s="36" t="e">
        <f>#REF!</f>
        <v>#REF!</v>
      </c>
      <c r="M4" s="36" t="e">
        <f>#REF!</f>
        <v>#REF!</v>
      </c>
      <c r="N4" s="36" t="e">
        <f>#REF!</f>
        <v>#REF!</v>
      </c>
      <c r="O4" s="36" t="e">
        <f>#REF!</f>
        <v>#REF!</v>
      </c>
      <c r="P4" s="36" t="e">
        <f>#REF!</f>
        <v>#REF!</v>
      </c>
    </row>
    <row r="5" spans="1:16" x14ac:dyDescent="0.25">
      <c r="A5" t="s">
        <v>18</v>
      </c>
      <c r="B5" t="s">
        <v>19</v>
      </c>
      <c r="C5" s="37">
        <v>40</v>
      </c>
      <c r="D5" s="38"/>
      <c r="E5" s="38">
        <v>40</v>
      </c>
      <c r="F5" s="38">
        <v>40</v>
      </c>
      <c r="G5" s="38">
        <v>40</v>
      </c>
      <c r="H5" s="38">
        <v>40</v>
      </c>
      <c r="I5" s="38">
        <v>40</v>
      </c>
      <c r="J5" s="38">
        <v>40</v>
      </c>
      <c r="K5" s="38">
        <v>40</v>
      </c>
      <c r="L5" s="38">
        <v>40</v>
      </c>
      <c r="M5" s="38">
        <v>40</v>
      </c>
      <c r="N5" s="38">
        <v>40</v>
      </c>
      <c r="O5" s="38">
        <v>40</v>
      </c>
      <c r="P5" s="38">
        <v>40</v>
      </c>
    </row>
    <row r="6" spans="1:16" x14ac:dyDescent="0.25">
      <c r="A6" t="s">
        <v>20</v>
      </c>
      <c r="B6" t="s">
        <v>21</v>
      </c>
      <c r="C6" s="37">
        <v>0.02</v>
      </c>
      <c r="D6" s="38"/>
      <c r="E6" s="38">
        <v>0.02</v>
      </c>
      <c r="F6" s="38">
        <v>0.02</v>
      </c>
      <c r="G6" s="38">
        <v>0.02</v>
      </c>
      <c r="H6" s="38">
        <v>0.02</v>
      </c>
      <c r="I6" s="38">
        <v>0.02</v>
      </c>
      <c r="J6" s="38">
        <v>0.02</v>
      </c>
      <c r="K6" s="38">
        <v>0.02</v>
      </c>
      <c r="L6" s="38">
        <v>0.02</v>
      </c>
      <c r="M6" s="38">
        <v>0.02</v>
      </c>
      <c r="N6" s="38">
        <v>0.02</v>
      </c>
      <c r="O6" s="38">
        <v>0.02</v>
      </c>
      <c r="P6" s="38">
        <v>0.02</v>
      </c>
    </row>
    <row r="7" spans="1:16" x14ac:dyDescent="0.25">
      <c r="A7" t="s">
        <v>22</v>
      </c>
      <c r="B7" t="s">
        <v>23</v>
      </c>
      <c r="C7" s="39" t="s">
        <v>24</v>
      </c>
      <c r="D7" s="40"/>
      <c r="E7" s="40" t="s">
        <v>24</v>
      </c>
      <c r="F7" s="40" t="s">
        <v>24</v>
      </c>
      <c r="G7" s="40" t="s">
        <v>24</v>
      </c>
      <c r="H7" s="40" t="s">
        <v>24</v>
      </c>
      <c r="I7" s="40" t="s">
        <v>24</v>
      </c>
      <c r="J7" s="40" t="s">
        <v>24</v>
      </c>
      <c r="K7" s="40" t="s">
        <v>24</v>
      </c>
      <c r="L7" s="40" t="s">
        <v>24</v>
      </c>
      <c r="M7" s="40" t="s">
        <v>24</v>
      </c>
      <c r="N7" s="40" t="s">
        <v>24</v>
      </c>
      <c r="O7" s="40" t="s">
        <v>24</v>
      </c>
      <c r="P7" s="40" t="s">
        <v>24</v>
      </c>
    </row>
    <row r="8" spans="1:16" x14ac:dyDescent="0.25">
      <c r="A8" t="s">
        <v>25</v>
      </c>
      <c r="B8" t="s">
        <v>26</v>
      </c>
      <c r="C8" s="37">
        <v>30</v>
      </c>
      <c r="D8" s="38"/>
      <c r="E8" s="38">
        <v>30</v>
      </c>
      <c r="F8" s="38">
        <v>30</v>
      </c>
      <c r="G8" s="38">
        <v>30</v>
      </c>
      <c r="H8" s="38">
        <v>30</v>
      </c>
      <c r="I8" s="38">
        <v>30</v>
      </c>
      <c r="J8" s="38">
        <v>30</v>
      </c>
      <c r="K8" s="38">
        <v>30</v>
      </c>
      <c r="L8" s="38">
        <v>30</v>
      </c>
      <c r="M8" s="38">
        <v>30</v>
      </c>
      <c r="N8" s="38">
        <v>30</v>
      </c>
      <c r="O8" s="38">
        <v>30</v>
      </c>
      <c r="P8" s="38">
        <v>30</v>
      </c>
    </row>
    <row r="9" spans="1:16" x14ac:dyDescent="0.25">
      <c r="A9" t="s">
        <v>27</v>
      </c>
      <c r="B9" t="s">
        <v>19</v>
      </c>
      <c r="C9" s="37">
        <v>30</v>
      </c>
      <c r="D9" s="38"/>
      <c r="E9" s="38">
        <v>30</v>
      </c>
      <c r="F9" s="38">
        <v>30</v>
      </c>
      <c r="G9" s="38">
        <v>30</v>
      </c>
      <c r="H9" s="38">
        <v>30</v>
      </c>
      <c r="I9" s="38">
        <v>30</v>
      </c>
      <c r="J9" s="38">
        <v>30</v>
      </c>
      <c r="K9" s="38">
        <v>30</v>
      </c>
      <c r="L9" s="38">
        <v>30</v>
      </c>
      <c r="M9" s="38">
        <v>30</v>
      </c>
      <c r="N9" s="38">
        <v>30</v>
      </c>
      <c r="O9" s="38">
        <v>30</v>
      </c>
      <c r="P9" s="38">
        <v>30</v>
      </c>
    </row>
    <row r="10" spans="1:16" x14ac:dyDescent="0.25">
      <c r="A10" t="s">
        <v>28</v>
      </c>
      <c r="B10" t="s">
        <v>19</v>
      </c>
      <c r="C10" s="37">
        <v>33</v>
      </c>
      <c r="D10" s="38"/>
      <c r="E10" s="38">
        <v>33</v>
      </c>
      <c r="F10" s="38">
        <v>33</v>
      </c>
      <c r="G10" s="38">
        <v>33</v>
      </c>
      <c r="H10" s="38">
        <v>33</v>
      </c>
      <c r="I10" s="38">
        <v>33</v>
      </c>
      <c r="J10" s="38">
        <v>33</v>
      </c>
      <c r="K10" s="38">
        <v>33</v>
      </c>
      <c r="L10" s="38">
        <v>33</v>
      </c>
      <c r="M10" s="38">
        <v>33</v>
      </c>
      <c r="N10" s="38">
        <v>33</v>
      </c>
      <c r="O10" s="38">
        <v>33</v>
      </c>
      <c r="P10" s="38">
        <v>33</v>
      </c>
    </row>
    <row r="11" spans="1:16" s="137" customFormat="1" x14ac:dyDescent="0.25">
      <c r="A11" s="54" t="s">
        <v>29</v>
      </c>
      <c r="B11" s="54" t="s">
        <v>30</v>
      </c>
      <c r="C11" s="135">
        <v>10</v>
      </c>
      <c r="D11" s="136"/>
      <c r="E11" s="136">
        <v>22</v>
      </c>
      <c r="F11" s="136">
        <v>23</v>
      </c>
      <c r="G11" s="136">
        <v>38</v>
      </c>
      <c r="H11" s="136">
        <v>41</v>
      </c>
      <c r="I11" s="136">
        <v>101</v>
      </c>
      <c r="J11" s="136">
        <v>111</v>
      </c>
      <c r="K11" s="136">
        <v>186</v>
      </c>
      <c r="L11" s="136">
        <v>211</v>
      </c>
      <c r="M11" s="136">
        <v>324</v>
      </c>
      <c r="N11" s="136">
        <v>369</v>
      </c>
      <c r="O11" s="136">
        <v>538</v>
      </c>
      <c r="P11" s="136">
        <v>603</v>
      </c>
    </row>
    <row r="12" spans="1:16" x14ac:dyDescent="0.25">
      <c r="A12" t="s">
        <v>31</v>
      </c>
      <c r="B12" t="s">
        <v>30</v>
      </c>
      <c r="C12" s="37">
        <v>10</v>
      </c>
      <c r="D12" s="38"/>
      <c r="E12" s="38">
        <v>12</v>
      </c>
      <c r="F12" s="38">
        <v>1</v>
      </c>
      <c r="G12" s="38">
        <v>25</v>
      </c>
      <c r="H12" s="38">
        <v>3</v>
      </c>
      <c r="I12" s="38">
        <v>50</v>
      </c>
      <c r="J12" s="38">
        <v>10</v>
      </c>
      <c r="K12" s="38">
        <v>75</v>
      </c>
      <c r="L12" s="38">
        <v>25</v>
      </c>
      <c r="M12" s="38">
        <v>113</v>
      </c>
      <c r="N12" s="38">
        <v>45</v>
      </c>
      <c r="O12" s="38">
        <v>169</v>
      </c>
      <c r="P12" s="38">
        <v>65</v>
      </c>
    </row>
    <row r="13" spans="1:16" x14ac:dyDescent="0.25">
      <c r="A13" t="s">
        <v>32</v>
      </c>
      <c r="B13" t="s">
        <v>33</v>
      </c>
      <c r="C13" s="37">
        <v>20</v>
      </c>
      <c r="D13" s="38"/>
      <c r="E13" s="38">
        <v>20</v>
      </c>
      <c r="F13" s="38">
        <v>20</v>
      </c>
      <c r="G13" s="38">
        <v>20</v>
      </c>
      <c r="H13" s="38">
        <v>20</v>
      </c>
      <c r="I13" s="38">
        <v>20</v>
      </c>
      <c r="J13" s="38">
        <v>20</v>
      </c>
      <c r="K13" s="38">
        <v>20</v>
      </c>
      <c r="L13" s="38">
        <v>20</v>
      </c>
      <c r="M13" s="38">
        <v>20</v>
      </c>
      <c r="N13" s="38">
        <v>20</v>
      </c>
      <c r="O13" s="38">
        <v>20</v>
      </c>
      <c r="P13" s="38">
        <v>20</v>
      </c>
    </row>
    <row r="14" spans="1:16" x14ac:dyDescent="0.25">
      <c r="A14" t="s">
        <v>34</v>
      </c>
      <c r="B14" t="s">
        <v>19</v>
      </c>
      <c r="C14" s="37">
        <v>98</v>
      </c>
      <c r="D14" s="38"/>
      <c r="E14" s="38">
        <v>98</v>
      </c>
      <c r="F14" s="38">
        <v>98</v>
      </c>
      <c r="G14" s="38">
        <v>98</v>
      </c>
      <c r="H14" s="38">
        <v>98</v>
      </c>
      <c r="I14" s="38">
        <v>98</v>
      </c>
      <c r="J14" s="38">
        <v>98</v>
      </c>
      <c r="K14" s="38">
        <v>98</v>
      </c>
      <c r="L14" s="38">
        <v>98</v>
      </c>
      <c r="M14" s="38">
        <v>98</v>
      </c>
      <c r="N14" s="38">
        <v>98</v>
      </c>
      <c r="O14" s="38">
        <v>98</v>
      </c>
      <c r="P14" s="38">
        <v>98</v>
      </c>
    </row>
    <row r="15" spans="1:16" x14ac:dyDescent="0.25">
      <c r="A15" t="s">
        <v>35</v>
      </c>
      <c r="B15" t="s">
        <v>19</v>
      </c>
      <c r="C15" s="39">
        <v>5</v>
      </c>
      <c r="D15" s="40"/>
      <c r="E15" s="40">
        <v>5</v>
      </c>
      <c r="F15" s="40">
        <v>5</v>
      </c>
      <c r="G15" s="40">
        <v>5</v>
      </c>
      <c r="H15" s="40">
        <v>5</v>
      </c>
      <c r="I15" s="40">
        <v>5</v>
      </c>
      <c r="J15" s="40">
        <v>5</v>
      </c>
      <c r="K15" s="40">
        <v>5</v>
      </c>
      <c r="L15" s="40">
        <v>5</v>
      </c>
      <c r="M15" s="40">
        <v>5</v>
      </c>
      <c r="N15" s="40">
        <v>5</v>
      </c>
      <c r="O15" s="40">
        <v>5</v>
      </c>
      <c r="P15" s="40">
        <v>5</v>
      </c>
    </row>
    <row r="16" spans="1:16" x14ac:dyDescent="0.25">
      <c r="A16" t="s">
        <v>36</v>
      </c>
      <c r="B16" t="s">
        <v>19</v>
      </c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</row>
    <row r="17" spans="1:31" x14ac:dyDescent="0.25">
      <c r="A17" t="s">
        <v>37</v>
      </c>
      <c r="B17" t="s">
        <v>38</v>
      </c>
      <c r="C17" s="39">
        <v>1.3</v>
      </c>
      <c r="D17" s="40">
        <v>1.3</v>
      </c>
      <c r="E17" s="40">
        <v>1.3</v>
      </c>
      <c r="F17" s="40">
        <v>1.3</v>
      </c>
      <c r="G17" s="40">
        <v>1.3</v>
      </c>
      <c r="H17" s="40">
        <v>1.3</v>
      </c>
      <c r="I17" s="40">
        <v>1.3</v>
      </c>
      <c r="J17" s="40">
        <v>1.3</v>
      </c>
      <c r="K17" s="40">
        <v>1.3</v>
      </c>
      <c r="L17" s="40">
        <v>1.3</v>
      </c>
      <c r="M17" s="40">
        <v>1.3</v>
      </c>
      <c r="N17" s="40">
        <v>1.3</v>
      </c>
      <c r="O17" s="40">
        <v>1.3</v>
      </c>
      <c r="P17" s="40">
        <v>1.3</v>
      </c>
    </row>
    <row r="18" spans="1:31" x14ac:dyDescent="0.25">
      <c r="A18" t="s">
        <v>39</v>
      </c>
      <c r="B18"/>
      <c r="C18" s="37">
        <v>0.16</v>
      </c>
      <c r="D18" s="38"/>
      <c r="E18" s="38">
        <v>0.16</v>
      </c>
      <c r="F18" s="38">
        <v>0.16</v>
      </c>
      <c r="G18" s="38">
        <v>0.16</v>
      </c>
      <c r="H18" s="38">
        <v>0.16</v>
      </c>
      <c r="I18" s="38">
        <v>0.16</v>
      </c>
      <c r="J18" s="38">
        <v>0.16</v>
      </c>
      <c r="K18" s="38">
        <v>0.16</v>
      </c>
      <c r="L18" s="38">
        <v>0.16</v>
      </c>
      <c r="M18" s="38">
        <v>0.16</v>
      </c>
      <c r="N18" s="38">
        <v>0.16</v>
      </c>
      <c r="O18" s="38">
        <v>0.16</v>
      </c>
      <c r="P18" s="38">
        <v>0.16</v>
      </c>
    </row>
    <row r="19" spans="1:31" x14ac:dyDescent="0.25">
      <c r="A19" t="s">
        <v>40</v>
      </c>
      <c r="B19"/>
      <c r="C19" s="37">
        <v>0.1</v>
      </c>
      <c r="D19" s="38"/>
      <c r="E19" s="38">
        <v>0.1</v>
      </c>
      <c r="F19" s="38">
        <v>0.1</v>
      </c>
      <c r="G19" s="38">
        <v>0.1</v>
      </c>
      <c r="H19" s="38">
        <v>0.1</v>
      </c>
      <c r="I19" s="38">
        <v>0.1</v>
      </c>
      <c r="J19" s="38">
        <v>0.1</v>
      </c>
      <c r="K19" s="38">
        <v>0.1</v>
      </c>
      <c r="L19" s="38">
        <v>0.1</v>
      </c>
      <c r="M19" s="38">
        <v>0.1</v>
      </c>
      <c r="N19" s="38">
        <v>0.1</v>
      </c>
      <c r="O19" s="38">
        <v>0.1</v>
      </c>
      <c r="P19" s="38">
        <v>0.1</v>
      </c>
    </row>
    <row r="20" spans="1:31" x14ac:dyDescent="0.25">
      <c r="A20" t="s">
        <v>41</v>
      </c>
      <c r="B20" t="s">
        <v>42</v>
      </c>
      <c r="C20" s="37">
        <v>100</v>
      </c>
      <c r="D20" s="38"/>
      <c r="E20" s="38">
        <v>100</v>
      </c>
      <c r="F20" s="38">
        <v>100</v>
      </c>
      <c r="G20" s="38">
        <v>100</v>
      </c>
      <c r="H20" s="38">
        <v>100</v>
      </c>
      <c r="I20" s="38">
        <v>100</v>
      </c>
      <c r="J20" s="38">
        <v>100</v>
      </c>
      <c r="K20" s="38">
        <v>100</v>
      </c>
      <c r="L20" s="38">
        <v>100</v>
      </c>
      <c r="M20" s="38">
        <v>100</v>
      </c>
      <c r="N20" s="38">
        <v>100</v>
      </c>
      <c r="O20" s="38">
        <v>100</v>
      </c>
      <c r="P20" s="38">
        <v>100</v>
      </c>
    </row>
    <row r="21" spans="1:31" x14ac:dyDescent="0.25">
      <c r="A21" t="s">
        <v>43</v>
      </c>
      <c r="B21" t="s">
        <v>44</v>
      </c>
      <c r="C21" s="41" t="s">
        <v>45</v>
      </c>
      <c r="D21" s="42"/>
      <c r="E21" s="42" t="s">
        <v>45</v>
      </c>
      <c r="F21" s="42" t="s">
        <v>45</v>
      </c>
      <c r="G21" s="42" t="s">
        <v>45</v>
      </c>
      <c r="H21" s="42" t="s">
        <v>45</v>
      </c>
      <c r="I21" s="42" t="s">
        <v>45</v>
      </c>
      <c r="J21" s="42" t="s">
        <v>45</v>
      </c>
      <c r="K21" s="42" t="s">
        <v>45</v>
      </c>
      <c r="L21" s="42" t="s">
        <v>45</v>
      </c>
      <c r="M21" s="42" t="s">
        <v>45</v>
      </c>
      <c r="N21" s="42" t="s">
        <v>45</v>
      </c>
      <c r="O21" s="42" t="s">
        <v>45</v>
      </c>
      <c r="P21" s="42" t="s">
        <v>45</v>
      </c>
    </row>
    <row r="23" spans="1:31" x14ac:dyDescent="0.25">
      <c r="A23" s="3" t="s">
        <v>46</v>
      </c>
      <c r="Q23" s="404" t="s">
        <v>352</v>
      </c>
    </row>
    <row r="24" spans="1:31" x14ac:dyDescent="0.25">
      <c r="A24" t="s">
        <v>47</v>
      </c>
      <c r="B24" t="s">
        <v>48</v>
      </c>
      <c r="C24" s="44">
        <v>0.31</v>
      </c>
      <c r="D24" s="43"/>
      <c r="E24" s="43">
        <v>0.26</v>
      </c>
      <c r="F24" s="43">
        <v>0.22</v>
      </c>
      <c r="G24" s="43">
        <v>0.2</v>
      </c>
      <c r="H24" s="43">
        <v>0.21</v>
      </c>
      <c r="I24" s="43">
        <v>0.16</v>
      </c>
      <c r="J24" s="43">
        <v>0.2</v>
      </c>
      <c r="K24" s="43">
        <v>0.14000000000000001</v>
      </c>
      <c r="L24" s="43">
        <v>0.13</v>
      </c>
      <c r="M24" s="43">
        <v>0.13</v>
      </c>
      <c r="N24" s="43">
        <v>0.1</v>
      </c>
      <c r="O24" s="43">
        <v>0.12</v>
      </c>
      <c r="P24" s="45">
        <v>0.09</v>
      </c>
      <c r="Q24" s="45">
        <v>0.09</v>
      </c>
      <c r="R24" s="45">
        <v>0.09</v>
      </c>
      <c r="S24" s="45">
        <v>0.09</v>
      </c>
      <c r="T24" s="45">
        <v>0.09</v>
      </c>
      <c r="U24" s="45">
        <v>0.09</v>
      </c>
      <c r="V24" s="45">
        <v>0.09</v>
      </c>
      <c r="W24" s="45">
        <v>0.09</v>
      </c>
      <c r="X24" s="45">
        <v>0.09</v>
      </c>
      <c r="Y24" s="45">
        <v>0.09</v>
      </c>
      <c r="Z24" s="45">
        <v>0.09</v>
      </c>
      <c r="AA24" s="45">
        <v>0.09</v>
      </c>
      <c r="AB24" s="45">
        <v>0.09</v>
      </c>
      <c r="AC24" s="45">
        <v>0.09</v>
      </c>
      <c r="AD24" s="45">
        <v>0.09</v>
      </c>
      <c r="AE24" s="45">
        <v>0.09</v>
      </c>
    </row>
    <row r="25" spans="1:31" x14ac:dyDescent="0.25">
      <c r="A25" t="s">
        <v>49</v>
      </c>
      <c r="B25" t="s">
        <v>48</v>
      </c>
      <c r="C25" s="46">
        <v>0.78</v>
      </c>
      <c r="D25" s="47"/>
      <c r="E25" s="47">
        <v>0.78</v>
      </c>
      <c r="F25" s="47">
        <v>0.76</v>
      </c>
      <c r="G25" s="47">
        <v>0.78</v>
      </c>
      <c r="H25" s="47">
        <v>0.76</v>
      </c>
      <c r="I25" s="47">
        <v>0.78</v>
      </c>
      <c r="J25" s="47">
        <v>0.76</v>
      </c>
      <c r="K25" s="47">
        <v>0.78</v>
      </c>
      <c r="L25" s="47">
        <v>0.76</v>
      </c>
      <c r="M25" s="47">
        <v>0.78</v>
      </c>
      <c r="N25" s="47">
        <v>0.76</v>
      </c>
      <c r="O25" s="47">
        <v>0.78</v>
      </c>
      <c r="P25" s="48">
        <v>0.76</v>
      </c>
    </row>
    <row r="26" spans="1:31" x14ac:dyDescent="0.25">
      <c r="A26" t="s">
        <v>50</v>
      </c>
      <c r="B26" t="s">
        <v>48</v>
      </c>
      <c r="C26" s="46">
        <v>0.24</v>
      </c>
      <c r="D26" s="47"/>
      <c r="E26" s="47">
        <v>0.24</v>
      </c>
      <c r="F26" s="47">
        <v>0.24</v>
      </c>
      <c r="G26" s="47">
        <v>0.24</v>
      </c>
      <c r="H26" s="47">
        <v>0.24</v>
      </c>
      <c r="I26" s="47">
        <v>0.24</v>
      </c>
      <c r="J26" s="47">
        <v>0.24</v>
      </c>
      <c r="K26" s="47">
        <v>0.24</v>
      </c>
      <c r="L26" s="47">
        <v>0.24</v>
      </c>
      <c r="M26" s="47">
        <v>0.24</v>
      </c>
      <c r="N26" s="47">
        <v>0.24</v>
      </c>
      <c r="O26" s="47">
        <v>0.24</v>
      </c>
      <c r="P26" s="48">
        <v>0.24</v>
      </c>
    </row>
    <row r="27" spans="1:31" x14ac:dyDescent="0.25">
      <c r="A27" t="s">
        <v>51</v>
      </c>
      <c r="B27" t="s">
        <v>48</v>
      </c>
      <c r="C27" s="46">
        <v>0.1</v>
      </c>
      <c r="D27" s="47"/>
      <c r="E27" s="47">
        <v>0.09</v>
      </c>
      <c r="F27" s="47">
        <v>7.0000000000000007E-2</v>
      </c>
      <c r="G27" s="47">
        <v>7.0000000000000007E-2</v>
      </c>
      <c r="H27" s="47">
        <v>0.06</v>
      </c>
      <c r="I27" s="47">
        <v>0.05</v>
      </c>
      <c r="J27" s="47">
        <v>0.06</v>
      </c>
      <c r="K27" s="47">
        <v>0.05</v>
      </c>
      <c r="L27" s="47">
        <v>0.04</v>
      </c>
      <c r="M27" s="47">
        <v>0.04</v>
      </c>
      <c r="N27" s="47">
        <v>0.03</v>
      </c>
      <c r="O27" s="47">
        <v>0.04</v>
      </c>
      <c r="P27" s="48">
        <v>0.03</v>
      </c>
    </row>
    <row r="28" spans="1:31" x14ac:dyDescent="0.25">
      <c r="A28" t="s">
        <v>52</v>
      </c>
      <c r="B28" t="s">
        <v>48</v>
      </c>
      <c r="C28" s="46">
        <v>0</v>
      </c>
      <c r="D28" s="47"/>
      <c r="E28" s="47">
        <v>0</v>
      </c>
      <c r="F28" s="47">
        <v>0</v>
      </c>
      <c r="G28" s="47">
        <v>0</v>
      </c>
      <c r="H28" s="47">
        <v>0</v>
      </c>
      <c r="I28" s="47">
        <v>0</v>
      </c>
      <c r="J28" s="47">
        <v>0</v>
      </c>
      <c r="K28" s="47">
        <v>0</v>
      </c>
      <c r="L28" s="47">
        <v>0</v>
      </c>
      <c r="M28" s="47">
        <v>0</v>
      </c>
      <c r="N28" s="47">
        <v>0</v>
      </c>
      <c r="O28" s="47">
        <v>0</v>
      </c>
      <c r="P28" s="48">
        <v>0</v>
      </c>
    </row>
    <row r="29" spans="1:31" x14ac:dyDescent="0.25">
      <c r="A29" t="s">
        <v>53</v>
      </c>
      <c r="B29" t="s">
        <v>48</v>
      </c>
      <c r="C29" s="46">
        <v>1.43</v>
      </c>
      <c r="D29" s="47"/>
      <c r="E29" s="47">
        <v>1.38</v>
      </c>
      <c r="F29" s="47">
        <v>1.29</v>
      </c>
      <c r="G29" s="47">
        <v>1.28</v>
      </c>
      <c r="H29" s="47">
        <v>1.27</v>
      </c>
      <c r="I29" s="47">
        <v>1.23</v>
      </c>
      <c r="J29" s="47">
        <v>1.25</v>
      </c>
      <c r="K29" s="47">
        <v>1.21</v>
      </c>
      <c r="L29" s="47">
        <v>1.1599999999999999</v>
      </c>
      <c r="M29" s="47">
        <v>1.19</v>
      </c>
      <c r="N29" s="47">
        <v>1.1299999999999999</v>
      </c>
      <c r="O29" s="47">
        <v>1.18</v>
      </c>
      <c r="P29" s="48">
        <v>1.1200000000000001</v>
      </c>
    </row>
    <row r="30" spans="1:31" x14ac:dyDescent="0.25">
      <c r="A30" t="s">
        <v>54</v>
      </c>
      <c r="B30" t="s">
        <v>48</v>
      </c>
      <c r="C30" s="46">
        <v>0.2</v>
      </c>
      <c r="D30" s="47"/>
      <c r="E30" s="47">
        <v>0.2</v>
      </c>
      <c r="F30" s="47">
        <v>0.2</v>
      </c>
      <c r="G30" s="47">
        <v>0.2</v>
      </c>
      <c r="H30" s="47">
        <v>0.2</v>
      </c>
      <c r="I30" s="47">
        <v>0.2</v>
      </c>
      <c r="J30" s="47">
        <v>0.2</v>
      </c>
      <c r="K30" s="47">
        <v>0.2</v>
      </c>
      <c r="L30" s="47">
        <v>0.2</v>
      </c>
      <c r="M30" s="47">
        <v>0.2</v>
      </c>
      <c r="N30" s="47">
        <v>0.2</v>
      </c>
      <c r="O30" s="47">
        <v>0.2</v>
      </c>
      <c r="P30" s="48">
        <v>0.2</v>
      </c>
    </row>
    <row r="31" spans="1:31" x14ac:dyDescent="0.25">
      <c r="A31" t="s">
        <v>55</v>
      </c>
      <c r="B31" t="s">
        <v>48</v>
      </c>
      <c r="C31" s="46">
        <v>1.24</v>
      </c>
      <c r="D31" s="47"/>
      <c r="E31" s="47">
        <v>1.19</v>
      </c>
      <c r="F31" s="47">
        <v>1.1000000000000001</v>
      </c>
      <c r="G31" s="47">
        <v>1.0900000000000001</v>
      </c>
      <c r="H31" s="47">
        <v>1.08</v>
      </c>
      <c r="I31" s="47">
        <v>1.03</v>
      </c>
      <c r="J31" s="47">
        <v>1.06</v>
      </c>
      <c r="K31" s="47">
        <v>1.01</v>
      </c>
      <c r="L31" s="47">
        <v>0.97</v>
      </c>
      <c r="M31" s="47">
        <v>0.99</v>
      </c>
      <c r="N31" s="47">
        <v>0.94</v>
      </c>
      <c r="O31" s="47">
        <v>0.99</v>
      </c>
      <c r="P31" s="48">
        <v>0.92</v>
      </c>
    </row>
    <row r="32" spans="1:31" x14ac:dyDescent="0.25">
      <c r="A32" t="s">
        <v>56</v>
      </c>
      <c r="B32" t="s">
        <v>48</v>
      </c>
      <c r="C32" s="46">
        <v>0.59</v>
      </c>
      <c r="D32" s="47"/>
      <c r="E32" s="47">
        <v>0.56000000000000005</v>
      </c>
      <c r="F32" s="47">
        <v>0.51</v>
      </c>
      <c r="G32" s="47">
        <v>0.52</v>
      </c>
      <c r="H32" s="47">
        <v>0.49</v>
      </c>
      <c r="I32" s="47">
        <v>0.5</v>
      </c>
      <c r="J32" s="47">
        <v>0.48</v>
      </c>
      <c r="K32" s="47">
        <v>0.5</v>
      </c>
      <c r="L32" s="47">
        <v>0.46</v>
      </c>
      <c r="M32" s="47">
        <v>0.49</v>
      </c>
      <c r="N32" s="47">
        <v>0.45</v>
      </c>
      <c r="O32" s="47">
        <v>0.49</v>
      </c>
      <c r="P32" s="48">
        <v>0.44</v>
      </c>
    </row>
    <row r="33" spans="1:16" x14ac:dyDescent="0.25">
      <c r="A33" t="s">
        <v>57</v>
      </c>
      <c r="B33" t="s">
        <v>58</v>
      </c>
      <c r="C33" s="46">
        <v>3.02</v>
      </c>
      <c r="D33" s="47"/>
      <c r="E33" s="47">
        <v>3.02</v>
      </c>
      <c r="F33" s="47">
        <v>3.02</v>
      </c>
      <c r="G33" s="47">
        <v>3.02</v>
      </c>
      <c r="H33" s="47">
        <v>3.02</v>
      </c>
      <c r="I33" s="47">
        <v>3.02</v>
      </c>
      <c r="J33" s="47">
        <v>3.02</v>
      </c>
      <c r="K33" s="47">
        <v>3.02</v>
      </c>
      <c r="L33" s="47">
        <v>3.02</v>
      </c>
      <c r="M33" s="47">
        <v>3.02</v>
      </c>
      <c r="N33" s="47">
        <v>3.02</v>
      </c>
      <c r="O33" s="47">
        <v>3.02</v>
      </c>
      <c r="P33" s="48">
        <v>3.02</v>
      </c>
    </row>
    <row r="34" spans="1:16" x14ac:dyDescent="0.25">
      <c r="A34" t="s">
        <v>59</v>
      </c>
      <c r="B34" t="s">
        <v>60</v>
      </c>
      <c r="C34" s="46">
        <v>38.96</v>
      </c>
      <c r="D34" s="47"/>
      <c r="E34" s="47">
        <v>38.97</v>
      </c>
      <c r="F34" s="47">
        <v>37.83</v>
      </c>
      <c r="G34" s="47">
        <v>38.97</v>
      </c>
      <c r="H34" s="47">
        <v>37.83</v>
      </c>
      <c r="I34" s="47">
        <v>38.96</v>
      </c>
      <c r="J34" s="47">
        <v>37.83</v>
      </c>
      <c r="K34" s="47">
        <v>38.96</v>
      </c>
      <c r="L34" s="47">
        <v>37.83</v>
      </c>
      <c r="M34" s="47">
        <v>38.96</v>
      </c>
      <c r="N34" s="47">
        <v>37.83</v>
      </c>
      <c r="O34" s="47">
        <v>38.96</v>
      </c>
      <c r="P34" s="48">
        <v>37.83</v>
      </c>
    </row>
    <row r="35" spans="1:16" x14ac:dyDescent="0.25">
      <c r="A35" t="s">
        <v>61</v>
      </c>
      <c r="B35" t="s">
        <v>62</v>
      </c>
      <c r="C35" s="46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/>
    </row>
    <row r="36" spans="1:16" x14ac:dyDescent="0.25">
      <c r="A36" t="s">
        <v>63</v>
      </c>
      <c r="B36" t="s">
        <v>64</v>
      </c>
      <c r="C36" s="46">
        <v>1.96</v>
      </c>
      <c r="D36" s="47"/>
      <c r="E36" s="47">
        <v>1.96</v>
      </c>
      <c r="F36" s="47">
        <v>1.96</v>
      </c>
      <c r="G36" s="47">
        <v>1.96</v>
      </c>
      <c r="H36" s="47">
        <v>1.96</v>
      </c>
      <c r="I36" s="47">
        <v>1.96</v>
      </c>
      <c r="J36" s="47">
        <v>1.96</v>
      </c>
      <c r="K36" s="47">
        <v>1.96</v>
      </c>
      <c r="L36" s="47">
        <v>1.96</v>
      </c>
      <c r="M36" s="47">
        <v>1.96</v>
      </c>
      <c r="N36" s="47">
        <v>1.96</v>
      </c>
      <c r="O36" s="47">
        <v>1.96</v>
      </c>
      <c r="P36" s="48">
        <v>1.96</v>
      </c>
    </row>
    <row r="37" spans="1:16" x14ac:dyDescent="0.25">
      <c r="A37" t="s">
        <v>65</v>
      </c>
      <c r="B37" t="s">
        <v>66</v>
      </c>
      <c r="C37" s="46">
        <v>439.03</v>
      </c>
      <c r="D37" s="47"/>
      <c r="E37" s="47">
        <v>439</v>
      </c>
      <c r="F37" s="47">
        <v>2922.21</v>
      </c>
      <c r="G37" s="47">
        <v>439</v>
      </c>
      <c r="H37" s="47">
        <v>2922.21</v>
      </c>
      <c r="I37" s="47">
        <v>439.03</v>
      </c>
      <c r="J37" s="47">
        <v>2922.21</v>
      </c>
      <c r="K37" s="47">
        <v>439.03</v>
      </c>
      <c r="L37" s="47">
        <v>2922.21</v>
      </c>
      <c r="M37" s="47">
        <v>439.03</v>
      </c>
      <c r="N37" s="47">
        <v>2922.21</v>
      </c>
      <c r="O37" s="47">
        <v>439.03</v>
      </c>
      <c r="P37" s="48">
        <v>2922.21</v>
      </c>
    </row>
    <row r="38" spans="1:16" x14ac:dyDescent="0.25">
      <c r="A38" t="s">
        <v>67</v>
      </c>
      <c r="B38" t="s">
        <v>68</v>
      </c>
      <c r="C38" s="46">
        <v>1028.5999999999999</v>
      </c>
      <c r="D38" s="47"/>
      <c r="E38" s="47">
        <v>903.06</v>
      </c>
      <c r="F38" s="47">
        <v>741.04</v>
      </c>
      <c r="G38" s="47">
        <v>656.4</v>
      </c>
      <c r="H38" s="47">
        <v>686.63</v>
      </c>
      <c r="I38" s="47">
        <v>518.49</v>
      </c>
      <c r="J38" s="47">
        <v>640.17999999999995</v>
      </c>
      <c r="K38" s="47">
        <v>468.79</v>
      </c>
      <c r="L38" s="47">
        <v>418.92</v>
      </c>
      <c r="M38" s="47">
        <v>425.26</v>
      </c>
      <c r="N38" s="47">
        <v>337.35</v>
      </c>
      <c r="O38" s="47">
        <v>402.97</v>
      </c>
      <c r="P38" s="48">
        <v>299.72000000000003</v>
      </c>
    </row>
    <row r="39" spans="1:16" x14ac:dyDescent="0.25">
      <c r="A39" t="s">
        <v>69</v>
      </c>
      <c r="B39" t="s">
        <v>70</v>
      </c>
      <c r="C39" s="46">
        <v>773.38</v>
      </c>
      <c r="D39" s="47"/>
      <c r="E39" s="47">
        <v>679.04</v>
      </c>
      <c r="F39" s="47">
        <v>557.16999999999996</v>
      </c>
      <c r="G39" s="47">
        <v>493.57</v>
      </c>
      <c r="H39" s="47">
        <v>528.17999999999995</v>
      </c>
      <c r="I39" s="47">
        <v>389.84</v>
      </c>
      <c r="J39" s="47">
        <v>492.45</v>
      </c>
      <c r="K39" s="47">
        <v>352.47</v>
      </c>
      <c r="L39" s="47">
        <v>322.24</v>
      </c>
      <c r="M39" s="47">
        <v>319.75</v>
      </c>
      <c r="N39" s="47">
        <v>259.5</v>
      </c>
      <c r="O39" s="47">
        <v>302.99</v>
      </c>
      <c r="P39" s="48">
        <v>230.55</v>
      </c>
    </row>
    <row r="40" spans="1:16" x14ac:dyDescent="0.25">
      <c r="A40" t="s">
        <v>71</v>
      </c>
      <c r="B40" t="s">
        <v>48</v>
      </c>
      <c r="C40" s="46">
        <v>7.0000000000000007E-2</v>
      </c>
      <c r="D40" s="47"/>
      <c r="E40" s="47">
        <v>0.12</v>
      </c>
      <c r="F40" s="47">
        <v>0.21</v>
      </c>
      <c r="G40" s="47">
        <v>0.22</v>
      </c>
      <c r="H40" s="47">
        <v>0.23</v>
      </c>
      <c r="I40" s="47">
        <v>0.27</v>
      </c>
      <c r="J40" s="47">
        <v>0.25</v>
      </c>
      <c r="K40" s="47">
        <v>0.28999999999999998</v>
      </c>
      <c r="L40" s="47">
        <v>0.34</v>
      </c>
      <c r="M40" s="47">
        <v>0.31</v>
      </c>
      <c r="N40" s="47">
        <v>0.37</v>
      </c>
      <c r="O40" s="47">
        <v>0.32</v>
      </c>
      <c r="P40" s="48">
        <v>0.38</v>
      </c>
    </row>
    <row r="41" spans="1:16" x14ac:dyDescent="0.25">
      <c r="A41" t="s">
        <v>72</v>
      </c>
      <c r="B41" t="s">
        <v>73</v>
      </c>
      <c r="C41" s="46">
        <v>1043665.06</v>
      </c>
      <c r="D41" s="47"/>
      <c r="E41" s="47">
        <v>988423.83</v>
      </c>
      <c r="F41" s="47">
        <v>6023536.6399999997</v>
      </c>
      <c r="G41" s="47">
        <v>880142.31</v>
      </c>
      <c r="H41" s="47">
        <v>5864540.5999999996</v>
      </c>
      <c r="I41" s="47">
        <v>819711.49</v>
      </c>
      <c r="J41" s="47">
        <v>5728799.0700000003</v>
      </c>
      <c r="K41" s="47">
        <v>797890.61</v>
      </c>
      <c r="L41" s="47">
        <v>5082223.96</v>
      </c>
      <c r="M41" s="47">
        <v>778782.1</v>
      </c>
      <c r="N41" s="47">
        <v>4843879.17</v>
      </c>
      <c r="O41" s="47">
        <v>768997.03</v>
      </c>
      <c r="P41" s="48">
        <v>4733901.3099999996</v>
      </c>
    </row>
    <row r="42" spans="1:16" x14ac:dyDescent="0.25">
      <c r="A42" t="s">
        <v>74</v>
      </c>
      <c r="B42" t="s">
        <v>75</v>
      </c>
      <c r="C42" s="46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8"/>
    </row>
    <row r="43" spans="1:16" x14ac:dyDescent="0.25">
      <c r="A43" t="s">
        <v>76</v>
      </c>
      <c r="B43" t="s">
        <v>77</v>
      </c>
      <c r="C43" s="46">
        <v>0.95</v>
      </c>
      <c r="D43" s="47"/>
      <c r="E43" s="47">
        <v>0.9</v>
      </c>
      <c r="F43" s="47">
        <v>0.83</v>
      </c>
      <c r="G43" s="47">
        <v>0.8</v>
      </c>
      <c r="H43" s="47">
        <v>0.8</v>
      </c>
      <c r="I43" s="47">
        <v>0.75</v>
      </c>
      <c r="J43" s="47">
        <v>0.78</v>
      </c>
      <c r="K43" s="47">
        <v>0.73</v>
      </c>
      <c r="L43" s="47">
        <v>0.7</v>
      </c>
      <c r="M43" s="47">
        <v>0.71</v>
      </c>
      <c r="N43" s="47">
        <v>0.66</v>
      </c>
      <c r="O43" s="47">
        <v>0.7</v>
      </c>
      <c r="P43" s="48">
        <v>0.65</v>
      </c>
    </row>
    <row r="44" spans="1:16" x14ac:dyDescent="0.25">
      <c r="A44" t="s">
        <v>78</v>
      </c>
      <c r="B44" t="s">
        <v>77</v>
      </c>
      <c r="C44" s="46">
        <v>0.85</v>
      </c>
      <c r="D44" s="47"/>
      <c r="E44" s="47">
        <v>0.8</v>
      </c>
      <c r="F44" s="47">
        <v>0.72</v>
      </c>
      <c r="G44" s="47">
        <v>0.7</v>
      </c>
      <c r="H44" s="47">
        <v>0.7</v>
      </c>
      <c r="I44" s="47">
        <v>0.64</v>
      </c>
      <c r="J44" s="47">
        <v>0.68</v>
      </c>
      <c r="K44" s="47">
        <v>0.62</v>
      </c>
      <c r="L44" s="47">
        <v>0.59</v>
      </c>
      <c r="M44" s="47">
        <v>0.61</v>
      </c>
      <c r="N44" s="47">
        <v>0.56000000000000005</v>
      </c>
      <c r="O44" s="47">
        <v>0.6</v>
      </c>
      <c r="P44" s="48">
        <v>0.54</v>
      </c>
    </row>
    <row r="45" spans="1:16" x14ac:dyDescent="0.25">
      <c r="A45" t="s">
        <v>79</v>
      </c>
      <c r="B45" t="s">
        <v>80</v>
      </c>
      <c r="C45" s="46">
        <v>1.74</v>
      </c>
      <c r="D45" s="47"/>
      <c r="E45" s="47">
        <v>1.68</v>
      </c>
      <c r="F45" s="47">
        <v>1.57</v>
      </c>
      <c r="G45" s="47">
        <v>1.56</v>
      </c>
      <c r="H45" s="47">
        <v>1.55</v>
      </c>
      <c r="I45" s="47">
        <v>1.49</v>
      </c>
      <c r="J45" s="47">
        <v>1.52</v>
      </c>
      <c r="K45" s="47">
        <v>1.47</v>
      </c>
      <c r="L45" s="47">
        <v>1.42</v>
      </c>
      <c r="M45" s="47">
        <v>1.45</v>
      </c>
      <c r="N45" s="47">
        <v>1.38</v>
      </c>
      <c r="O45" s="47">
        <v>1.44</v>
      </c>
      <c r="P45" s="48">
        <v>1.36</v>
      </c>
    </row>
    <row r="46" spans="1:16" x14ac:dyDescent="0.25">
      <c r="A46" t="s">
        <v>81</v>
      </c>
      <c r="B46" t="s">
        <v>82</v>
      </c>
      <c r="C46" s="46">
        <v>3.33</v>
      </c>
      <c r="D46" s="47"/>
      <c r="E46" s="47">
        <v>3.17</v>
      </c>
      <c r="F46" s="47">
        <v>2.87</v>
      </c>
      <c r="G46" s="47">
        <v>2.96</v>
      </c>
      <c r="H46" s="47">
        <v>2.79</v>
      </c>
      <c r="I46" s="47">
        <v>2.84</v>
      </c>
      <c r="J46" s="47">
        <v>2.7</v>
      </c>
      <c r="K46" s="47">
        <v>2.8</v>
      </c>
      <c r="L46" s="47">
        <v>2.57</v>
      </c>
      <c r="M46" s="47">
        <v>2.76</v>
      </c>
      <c r="N46" s="47">
        <v>2.52</v>
      </c>
      <c r="O46" s="47">
        <v>2.73</v>
      </c>
      <c r="P46" s="48">
        <v>2.4900000000000002</v>
      </c>
    </row>
    <row r="47" spans="1:16" x14ac:dyDescent="0.25">
      <c r="A47" t="s">
        <v>83</v>
      </c>
      <c r="B47" t="s">
        <v>77</v>
      </c>
      <c r="C47" s="49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1"/>
    </row>
    <row r="48" spans="1:16" x14ac:dyDescent="0.25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</row>
    <row r="49" spans="1:16" x14ac:dyDescent="0.25"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</row>
    <row r="50" spans="1:16" x14ac:dyDescent="0.25"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</row>
    <row r="51" spans="1:16" x14ac:dyDescent="0.25"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</row>
    <row r="52" spans="1:16" x14ac:dyDescent="0.25">
      <c r="C52" s="2"/>
      <c r="D52" s="2"/>
      <c r="E52" s="2"/>
      <c r="F52" s="2"/>
      <c r="G52" s="2"/>
      <c r="H52" s="2"/>
      <c r="I52" s="2"/>
      <c r="J52" s="2"/>
    </row>
    <row r="53" spans="1:16" x14ac:dyDescent="0.25">
      <c r="A53" s="4" t="s">
        <v>84</v>
      </c>
      <c r="C53" s="2"/>
      <c r="D53" s="2"/>
      <c r="E53" s="2"/>
      <c r="F53" s="2"/>
      <c r="G53" s="2"/>
      <c r="H53" s="2"/>
      <c r="I53" s="2"/>
      <c r="J53" s="2"/>
    </row>
    <row r="54" spans="1:16" x14ac:dyDescent="0.25">
      <c r="A54" t="s">
        <v>85</v>
      </c>
      <c r="C54" s="5">
        <v>150</v>
      </c>
      <c r="D54" s="5">
        <v>1000</v>
      </c>
      <c r="E54" s="5">
        <v>150</v>
      </c>
      <c r="F54" s="5">
        <v>1000</v>
      </c>
      <c r="G54" s="5">
        <v>150</v>
      </c>
      <c r="H54" s="5">
        <v>1000</v>
      </c>
      <c r="I54" s="5">
        <v>150</v>
      </c>
      <c r="J54" s="5">
        <v>1000</v>
      </c>
      <c r="K54" s="5">
        <v>150</v>
      </c>
      <c r="L54" s="5">
        <v>1000</v>
      </c>
      <c r="M54" s="6">
        <v>150</v>
      </c>
      <c r="N54" s="6">
        <v>1000</v>
      </c>
      <c r="O54" s="6">
        <v>150</v>
      </c>
      <c r="P54" s="6">
        <v>1000</v>
      </c>
    </row>
    <row r="55" spans="1:16" x14ac:dyDescent="0.25">
      <c r="A55" t="s">
        <v>86</v>
      </c>
      <c r="C55" s="5">
        <v>54750</v>
      </c>
      <c r="D55" s="5">
        <v>365000</v>
      </c>
      <c r="E55" s="5">
        <v>54750</v>
      </c>
      <c r="F55" s="5">
        <v>365000</v>
      </c>
      <c r="G55" s="5">
        <v>54750</v>
      </c>
      <c r="H55" s="5">
        <v>365000</v>
      </c>
      <c r="I55" s="5">
        <v>54750</v>
      </c>
      <c r="J55" s="5">
        <v>365000</v>
      </c>
      <c r="K55" s="5">
        <v>54750</v>
      </c>
      <c r="L55" s="5">
        <v>365000</v>
      </c>
      <c r="M55" s="6">
        <v>54750</v>
      </c>
      <c r="N55" s="6">
        <v>365000</v>
      </c>
      <c r="O55" s="6">
        <v>54750</v>
      </c>
      <c r="P55" s="6">
        <v>365000</v>
      </c>
    </row>
    <row r="56" spans="1:16" x14ac:dyDescent="0.25">
      <c r="A56" t="s">
        <v>87</v>
      </c>
      <c r="C56" s="5">
        <v>1095000</v>
      </c>
      <c r="D56" s="5">
        <v>7300000</v>
      </c>
      <c r="E56" s="5">
        <v>1095000</v>
      </c>
      <c r="F56" s="5">
        <v>7300000</v>
      </c>
      <c r="G56" s="5">
        <v>1095000</v>
      </c>
      <c r="H56" s="5">
        <v>7300000</v>
      </c>
      <c r="I56" s="5">
        <v>1095000</v>
      </c>
      <c r="J56" s="5">
        <v>7300000</v>
      </c>
      <c r="K56" s="5">
        <v>1095000</v>
      </c>
      <c r="L56" s="5">
        <v>7300000</v>
      </c>
      <c r="M56" s="6">
        <v>1095000</v>
      </c>
      <c r="N56" s="6">
        <v>7300000</v>
      </c>
      <c r="O56" s="6">
        <v>1095000</v>
      </c>
      <c r="P56" s="6">
        <v>7300000</v>
      </c>
    </row>
    <row r="57" spans="1:16" x14ac:dyDescent="0.25">
      <c r="C57" s="2"/>
      <c r="D57" s="2"/>
      <c r="E57" s="2"/>
      <c r="F57" s="2"/>
      <c r="G57" s="2"/>
      <c r="H57" s="2"/>
      <c r="I57" s="2"/>
      <c r="J57" s="2"/>
    </row>
    <row r="58" spans="1:16" x14ac:dyDescent="0.25">
      <c r="C58" s="2"/>
      <c r="D58" s="2"/>
      <c r="E58" s="2"/>
      <c r="F58" s="2"/>
      <c r="G58" s="2"/>
      <c r="H58" s="2"/>
      <c r="I58" s="2"/>
      <c r="J58" s="2"/>
    </row>
    <row r="59" spans="1:16" x14ac:dyDescent="0.25">
      <c r="C59" s="2"/>
      <c r="D59" s="2"/>
      <c r="E59" s="2"/>
      <c r="F59" s="2"/>
      <c r="G59" s="2"/>
      <c r="H59" s="2"/>
      <c r="I59" s="2"/>
      <c r="J59" s="2"/>
    </row>
    <row r="60" spans="1:16" x14ac:dyDescent="0.25">
      <c r="C60" s="2"/>
      <c r="D60" s="2"/>
      <c r="E60" s="2"/>
      <c r="F60" s="2"/>
      <c r="G60" s="2"/>
      <c r="H60" s="2"/>
      <c r="I60" s="2"/>
      <c r="J60" s="2"/>
    </row>
    <row r="61" spans="1:16" x14ac:dyDescent="0.25">
      <c r="C61" s="2"/>
      <c r="D61" s="2"/>
      <c r="E61" s="2"/>
      <c r="F61" s="2"/>
      <c r="G61" s="2"/>
      <c r="H61" s="2"/>
      <c r="I61" s="2"/>
      <c r="J61" s="2"/>
    </row>
    <row r="62" spans="1:16" x14ac:dyDescent="0.25">
      <c r="C62" s="2"/>
      <c r="D62" s="2"/>
      <c r="E62" s="2"/>
      <c r="F62" s="2"/>
      <c r="G62" s="2"/>
      <c r="H62" s="2"/>
      <c r="I62" s="2"/>
      <c r="J62" s="2"/>
    </row>
    <row r="63" spans="1:16" x14ac:dyDescent="0.25">
      <c r="C63" s="2"/>
      <c r="D63" s="2"/>
      <c r="E63" s="2"/>
      <c r="F63" s="2"/>
      <c r="G63" s="2"/>
      <c r="H63" s="2"/>
      <c r="I63" s="2"/>
      <c r="J63" s="2"/>
    </row>
    <row r="64" spans="1:16" x14ac:dyDescent="0.25">
      <c r="C64" s="2"/>
      <c r="D64" s="2"/>
      <c r="E64" s="2"/>
      <c r="F64" s="2"/>
      <c r="G64" s="2"/>
      <c r="H64" s="2"/>
      <c r="I64" s="2"/>
      <c r="J64" s="2"/>
    </row>
    <row r="65" spans="1:10" x14ac:dyDescent="0.25">
      <c r="C65" s="2"/>
      <c r="D65" s="2"/>
      <c r="E65" s="2"/>
      <c r="F65" s="2"/>
      <c r="G65" s="2"/>
      <c r="H65" s="2"/>
      <c r="I65" s="2"/>
      <c r="J65" s="2"/>
    </row>
    <row r="66" spans="1:10" x14ac:dyDescent="0.25">
      <c r="C66" s="2"/>
      <c r="D66" s="2"/>
      <c r="E66" s="2"/>
      <c r="F66" s="2"/>
      <c r="G66" s="2"/>
      <c r="H66" s="2"/>
      <c r="I66" s="2"/>
      <c r="J66" s="2"/>
    </row>
    <row r="67" spans="1:10" x14ac:dyDescent="0.25">
      <c r="C67" s="2"/>
      <c r="D67" s="2"/>
      <c r="E67" s="2"/>
      <c r="F67" s="2"/>
      <c r="G67" s="2"/>
      <c r="H67" s="2"/>
      <c r="I67" s="2"/>
      <c r="J67" s="2"/>
    </row>
    <row r="68" spans="1:10" x14ac:dyDescent="0.25">
      <c r="C68" s="2"/>
      <c r="D68" s="2"/>
      <c r="E68" s="2"/>
      <c r="F68" s="2"/>
      <c r="G68" s="2"/>
      <c r="H68" s="2"/>
      <c r="I68" s="2"/>
      <c r="J68" s="2"/>
    </row>
    <row r="69" spans="1:10" x14ac:dyDescent="0.25">
      <c r="C69" s="2"/>
      <c r="D69" s="2"/>
      <c r="E69" s="2"/>
      <c r="F69" s="2"/>
      <c r="G69" s="2"/>
      <c r="H69" s="2"/>
      <c r="I69" s="2"/>
      <c r="J69" s="2"/>
    </row>
    <row r="70" spans="1:10" x14ac:dyDescent="0.25">
      <c r="C70" s="2"/>
      <c r="D70" s="2"/>
      <c r="E70" s="2"/>
      <c r="F70" s="2"/>
      <c r="G70" s="2"/>
      <c r="H70" s="2"/>
      <c r="I70" s="2"/>
      <c r="J70" s="2"/>
    </row>
    <row r="71" spans="1:10" x14ac:dyDescent="0.25">
      <c r="C71" s="2"/>
      <c r="D71" s="2"/>
      <c r="E71" s="2"/>
      <c r="F71" s="2"/>
      <c r="G71" s="2"/>
      <c r="H71" s="2"/>
      <c r="I71" s="2"/>
      <c r="J71" s="2"/>
    </row>
    <row r="72" spans="1:10" x14ac:dyDescent="0.25">
      <c r="C72" s="2"/>
      <c r="D72" s="2"/>
      <c r="E72" s="2"/>
      <c r="F72" s="2"/>
      <c r="G72" s="2"/>
      <c r="H72" s="2"/>
      <c r="I72" s="2"/>
      <c r="J72" s="2"/>
    </row>
    <row r="73" spans="1:10" x14ac:dyDescent="0.25">
      <c r="C73" s="2"/>
      <c r="D73" s="2"/>
      <c r="E73" s="2"/>
      <c r="F73" s="2"/>
      <c r="G73" s="2"/>
      <c r="H73" s="2"/>
      <c r="I73" s="2"/>
      <c r="J73" s="2"/>
    </row>
    <row r="74" spans="1:10" x14ac:dyDescent="0.25">
      <c r="C74" s="2"/>
      <c r="D74" s="2"/>
      <c r="E74" s="2"/>
      <c r="F74" s="2"/>
      <c r="G74" s="2"/>
      <c r="H74" s="2"/>
      <c r="I74" s="2"/>
      <c r="J74" s="2"/>
    </row>
    <row r="75" spans="1:1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95" spans="1:1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</row>
    <row r="199" spans="1:1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</row>
    <row r="201" spans="1:1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</row>
    <row r="202" spans="1:1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</row>
    <row r="203" spans="1:1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</row>
    <row r="204" spans="1:1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</row>
  </sheetData>
  <scenarios current="1" show="1">
    <scenario name="Pricing like grey ammonia" locked="1" count="1" user="Jascha Langenberg" comment="Being competetive on price might be beneficial for attracting price-sensitive farmers. Likely not needed because we have enough early interest willing to pay green premium.">
      <inputCells r="C17" val="1" numFmtId="43"/>
    </scenario>
    <scenario name="Initial scenario" locked="1" count="1" user="Jascha Langenberg" comment="Created by Jascha Langenberg on 26.09.2024">
      <inputCells r="C17" val="1,3" numFmtId="43"/>
    </scenario>
  </scenario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3F594-C5B2-4BD5-A579-614045136714}">
  <sheetPr codeName="Sheet4">
    <tabColor rgb="FFB5E5B7"/>
  </sheetPr>
  <dimension ref="A1:BZ70"/>
  <sheetViews>
    <sheetView workbookViewId="0"/>
  </sheetViews>
  <sheetFormatPr defaultColWidth="10.625" defaultRowHeight="12.75" x14ac:dyDescent="0.2"/>
  <cols>
    <col min="1" max="1" width="46" style="55" bestFit="1" customWidth="1"/>
    <col min="2" max="2" width="10.625" style="55"/>
    <col min="3" max="38" width="11" style="57" bestFit="1" customWidth="1"/>
    <col min="39" max="68" width="10.625" style="57"/>
    <col min="69" max="78" width="10.625" style="56"/>
    <col min="79" max="16384" width="10.625" style="55"/>
  </cols>
  <sheetData>
    <row r="1" spans="1:41" ht="20.25" x14ac:dyDescent="0.3">
      <c r="A1" s="130" t="s">
        <v>88</v>
      </c>
    </row>
    <row r="2" spans="1:41" x14ac:dyDescent="0.2">
      <c r="A2" s="56" t="s">
        <v>89</v>
      </c>
      <c r="B2" s="56"/>
      <c r="C2" s="128">
        <v>2024</v>
      </c>
      <c r="D2" s="126"/>
      <c r="E2" s="126"/>
      <c r="F2" s="126"/>
      <c r="G2" s="129"/>
      <c r="H2" s="126"/>
      <c r="I2" s="126"/>
      <c r="J2" s="126"/>
      <c r="K2" s="126"/>
      <c r="L2" s="126"/>
      <c r="M2" s="126"/>
      <c r="N2" s="126"/>
      <c r="O2" s="128">
        <v>2025</v>
      </c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7">
        <v>2026</v>
      </c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</row>
    <row r="3" spans="1:41" x14ac:dyDescent="0.2">
      <c r="A3" s="125" t="s">
        <v>90</v>
      </c>
      <c r="B3" s="124" t="s">
        <v>91</v>
      </c>
      <c r="C3" s="123">
        <v>1</v>
      </c>
      <c r="D3" s="123">
        <v>2</v>
      </c>
      <c r="E3" s="123">
        <v>3</v>
      </c>
      <c r="F3" s="123">
        <v>4</v>
      </c>
      <c r="G3" s="123">
        <v>5</v>
      </c>
      <c r="H3" s="123">
        <v>6</v>
      </c>
      <c r="I3" s="123">
        <v>7</v>
      </c>
      <c r="J3" s="123">
        <v>8</v>
      </c>
      <c r="K3" s="123">
        <v>9</v>
      </c>
      <c r="L3" s="123">
        <v>10</v>
      </c>
      <c r="M3" s="123">
        <v>11</v>
      </c>
      <c r="N3" s="123">
        <v>12</v>
      </c>
      <c r="O3" s="123">
        <v>13</v>
      </c>
      <c r="P3" s="123">
        <v>14</v>
      </c>
      <c r="Q3" s="123">
        <v>15</v>
      </c>
      <c r="R3" s="123">
        <v>16</v>
      </c>
      <c r="S3" s="123">
        <v>17</v>
      </c>
      <c r="T3" s="123">
        <v>18</v>
      </c>
      <c r="U3" s="123">
        <v>19</v>
      </c>
      <c r="V3" s="123">
        <v>20</v>
      </c>
      <c r="W3" s="123">
        <v>21</v>
      </c>
      <c r="X3" s="123">
        <v>22</v>
      </c>
      <c r="Y3" s="123">
        <v>23</v>
      </c>
      <c r="Z3" s="123">
        <v>24</v>
      </c>
      <c r="AA3" s="123">
        <v>25</v>
      </c>
      <c r="AB3" s="123">
        <v>26</v>
      </c>
      <c r="AC3" s="123">
        <v>27</v>
      </c>
      <c r="AD3" s="123">
        <v>28</v>
      </c>
      <c r="AE3" s="123">
        <v>29</v>
      </c>
      <c r="AF3" s="123">
        <v>30</v>
      </c>
      <c r="AG3" s="123">
        <v>31</v>
      </c>
      <c r="AH3" s="123">
        <v>32</v>
      </c>
      <c r="AI3" s="123">
        <v>33</v>
      </c>
      <c r="AJ3" s="123">
        <v>34</v>
      </c>
      <c r="AK3" s="123">
        <v>35</v>
      </c>
      <c r="AL3" s="123">
        <v>36</v>
      </c>
      <c r="AM3" s="122" t="s">
        <v>92</v>
      </c>
      <c r="AN3" s="121" t="s">
        <v>93</v>
      </c>
      <c r="AO3" s="120" t="s">
        <v>94</v>
      </c>
    </row>
    <row r="4" spans="1:41" x14ac:dyDescent="0.2">
      <c r="A4" s="67"/>
      <c r="B4" s="119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118"/>
      <c r="AM4" s="117"/>
      <c r="AN4" s="117"/>
      <c r="AO4" s="116"/>
    </row>
    <row r="5" spans="1:41" x14ac:dyDescent="0.2">
      <c r="A5" s="78" t="s">
        <v>95</v>
      </c>
      <c r="B5" s="98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>
        <f t="shared" ref="T5:AL5" si="0">SUM(T6:T8)</f>
        <v>7276</v>
      </c>
      <c r="U5" s="105">
        <f t="shared" si="0"/>
        <v>7276</v>
      </c>
      <c r="V5" s="105">
        <f t="shared" si="0"/>
        <v>7276</v>
      </c>
      <c r="W5" s="105">
        <f t="shared" si="0"/>
        <v>7276</v>
      </c>
      <c r="X5" s="105">
        <f t="shared" si="0"/>
        <v>7276</v>
      </c>
      <c r="Y5" s="105">
        <f t="shared" si="0"/>
        <v>7276</v>
      </c>
      <c r="Z5" s="105">
        <f t="shared" si="0"/>
        <v>7276</v>
      </c>
      <c r="AA5" s="105">
        <f t="shared" si="0"/>
        <v>7276</v>
      </c>
      <c r="AB5" s="105">
        <f t="shared" si="0"/>
        <v>7276</v>
      </c>
      <c r="AC5" s="105">
        <f t="shared" si="0"/>
        <v>7276</v>
      </c>
      <c r="AD5" s="105">
        <f t="shared" si="0"/>
        <v>7276</v>
      </c>
      <c r="AE5" s="105">
        <f t="shared" si="0"/>
        <v>7276</v>
      </c>
      <c r="AF5" s="105">
        <f t="shared" si="0"/>
        <v>7276</v>
      </c>
      <c r="AG5" s="105">
        <f t="shared" si="0"/>
        <v>14552</v>
      </c>
      <c r="AH5" s="105">
        <f t="shared" si="0"/>
        <v>14552</v>
      </c>
      <c r="AI5" s="105">
        <f t="shared" si="0"/>
        <v>14552</v>
      </c>
      <c r="AJ5" s="105">
        <f t="shared" si="0"/>
        <v>14552</v>
      </c>
      <c r="AK5" s="105">
        <f t="shared" si="0"/>
        <v>14552</v>
      </c>
      <c r="AL5" s="115">
        <f t="shared" si="0"/>
        <v>14552</v>
      </c>
      <c r="AM5" s="114">
        <v>46000</v>
      </c>
      <c r="AN5" s="114">
        <v>92000</v>
      </c>
      <c r="AO5" s="113">
        <v>92000</v>
      </c>
    </row>
    <row r="6" spans="1:41" x14ac:dyDescent="0.2">
      <c r="A6" s="67" t="s">
        <v>96</v>
      </c>
      <c r="B6" s="109">
        <f>7276</f>
        <v>7276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>
        <f t="shared" ref="T6:AL7" si="1">$B6</f>
        <v>7276</v>
      </c>
      <c r="U6" s="64">
        <f t="shared" si="1"/>
        <v>7276</v>
      </c>
      <c r="V6" s="64">
        <f t="shared" si="1"/>
        <v>7276</v>
      </c>
      <c r="W6" s="64">
        <f t="shared" si="1"/>
        <v>7276</v>
      </c>
      <c r="X6" s="64">
        <f t="shared" si="1"/>
        <v>7276</v>
      </c>
      <c r="Y6" s="64">
        <f t="shared" si="1"/>
        <v>7276</v>
      </c>
      <c r="Z6" s="64">
        <f t="shared" si="1"/>
        <v>7276</v>
      </c>
      <c r="AA6" s="64">
        <f t="shared" si="1"/>
        <v>7276</v>
      </c>
      <c r="AB6" s="64">
        <f t="shared" si="1"/>
        <v>7276</v>
      </c>
      <c r="AC6" s="64">
        <f t="shared" si="1"/>
        <v>7276</v>
      </c>
      <c r="AD6" s="64">
        <f t="shared" si="1"/>
        <v>7276</v>
      </c>
      <c r="AE6" s="64">
        <f t="shared" si="1"/>
        <v>7276</v>
      </c>
      <c r="AF6" s="64">
        <f t="shared" si="1"/>
        <v>7276</v>
      </c>
      <c r="AG6" s="64">
        <f t="shared" si="1"/>
        <v>7276</v>
      </c>
      <c r="AH6" s="64">
        <f t="shared" si="1"/>
        <v>7276</v>
      </c>
      <c r="AI6" s="64">
        <f t="shared" si="1"/>
        <v>7276</v>
      </c>
      <c r="AJ6" s="64">
        <f t="shared" si="1"/>
        <v>7276</v>
      </c>
      <c r="AK6" s="64">
        <f t="shared" si="1"/>
        <v>7276</v>
      </c>
      <c r="AL6" s="63">
        <f t="shared" si="1"/>
        <v>7276</v>
      </c>
      <c r="AM6" s="71">
        <f ca="1">SUM(OFFSET($C6,0,0,1,12))</f>
        <v>0</v>
      </c>
      <c r="AN6" s="71">
        <f ca="1">SUM(OFFSET($C6,0,12,1,12))</f>
        <v>50932</v>
      </c>
      <c r="AO6" s="99">
        <f ca="1">SUM(OFFSET($C6,0,24,1,12))</f>
        <v>87312</v>
      </c>
    </row>
    <row r="7" spans="1:41" x14ac:dyDescent="0.2">
      <c r="A7" s="67" t="s">
        <v>97</v>
      </c>
      <c r="B7" s="109">
        <f>7276</f>
        <v>7276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>
        <f t="shared" si="1"/>
        <v>7276</v>
      </c>
      <c r="AH7" s="64">
        <f t="shared" si="1"/>
        <v>7276</v>
      </c>
      <c r="AI7" s="64">
        <f t="shared" si="1"/>
        <v>7276</v>
      </c>
      <c r="AJ7" s="64">
        <f t="shared" si="1"/>
        <v>7276</v>
      </c>
      <c r="AK7" s="64">
        <f t="shared" si="1"/>
        <v>7276</v>
      </c>
      <c r="AL7" s="63">
        <f t="shared" si="1"/>
        <v>7276</v>
      </c>
      <c r="AM7" s="71">
        <f ca="1">SUM(OFFSET($C7,0,0,1,12))</f>
        <v>0</v>
      </c>
      <c r="AN7" s="71">
        <f ca="1">SUM(OFFSET($C7,0,12,1,12))</f>
        <v>0</v>
      </c>
      <c r="AO7" s="99">
        <f ca="1">SUM(OFFSET($C7,0,24,1,12))</f>
        <v>43656</v>
      </c>
    </row>
    <row r="8" spans="1:41" x14ac:dyDescent="0.2">
      <c r="A8" s="146" t="s">
        <v>98</v>
      </c>
      <c r="B8" s="108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1"/>
      <c r="AM8" s="107">
        <f ca="1">SUM(OFFSET($C8,0,0,1,12))</f>
        <v>0</v>
      </c>
      <c r="AN8" s="107">
        <f ca="1">SUM(OFFSET($C8,0,12,1,12))</f>
        <v>0</v>
      </c>
      <c r="AO8" s="106">
        <f ca="1">SUM(OFFSET($C8,0,24,1,12))</f>
        <v>0</v>
      </c>
    </row>
    <row r="9" spans="1:41" x14ac:dyDescent="0.2">
      <c r="A9" s="78"/>
      <c r="B9" s="98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5"/>
      <c r="AM9" s="71"/>
      <c r="AN9" s="71"/>
      <c r="AO9" s="99"/>
    </row>
    <row r="10" spans="1:41" x14ac:dyDescent="0.2">
      <c r="A10" s="78" t="s">
        <v>99</v>
      </c>
      <c r="B10" s="98"/>
      <c r="C10" s="105">
        <f>SUM(C11:C36)</f>
        <v>50000</v>
      </c>
      <c r="D10" s="105"/>
      <c r="E10" s="105">
        <f>SUM(E11:E36)</f>
        <v>275000</v>
      </c>
      <c r="F10" s="105"/>
      <c r="G10" s="105"/>
      <c r="H10" s="105"/>
      <c r="I10" s="105">
        <f t="shared" ref="I10:AL10" si="2">SUM(I11:I36)</f>
        <v>68630</v>
      </c>
      <c r="J10" s="105">
        <f t="shared" si="2"/>
        <v>28130</v>
      </c>
      <c r="K10" s="105">
        <f t="shared" si="2"/>
        <v>52886</v>
      </c>
      <c r="L10" s="105">
        <f t="shared" si="2"/>
        <v>55406</v>
      </c>
      <c r="M10" s="105">
        <f t="shared" si="2"/>
        <v>72182</v>
      </c>
      <c r="N10" s="105">
        <f t="shared" si="2"/>
        <v>62882</v>
      </c>
      <c r="O10" s="105">
        <f t="shared" si="2"/>
        <v>196394.66666666669</v>
      </c>
      <c r="P10" s="105">
        <f t="shared" si="2"/>
        <v>73744.666666666672</v>
      </c>
      <c r="Q10" s="105">
        <f t="shared" si="2"/>
        <v>72844.666666666672</v>
      </c>
      <c r="R10" s="105">
        <f t="shared" si="2"/>
        <v>93744.666666666672</v>
      </c>
      <c r="S10" s="105">
        <f t="shared" si="2"/>
        <v>807844.66666666663</v>
      </c>
      <c r="T10" s="105">
        <f t="shared" si="2"/>
        <v>289744.66666666669</v>
      </c>
      <c r="U10" s="105">
        <f t="shared" si="2"/>
        <v>84350.666666666672</v>
      </c>
      <c r="V10" s="105">
        <f t="shared" si="2"/>
        <v>85850.666666666672</v>
      </c>
      <c r="W10" s="105">
        <f t="shared" si="2"/>
        <v>114350.66666666667</v>
      </c>
      <c r="X10" s="105">
        <f t="shared" si="2"/>
        <v>93830.666666666672</v>
      </c>
      <c r="Y10" s="105">
        <f t="shared" si="2"/>
        <v>262330.66666666669</v>
      </c>
      <c r="Z10" s="105">
        <f t="shared" si="2"/>
        <v>93830.666666666672</v>
      </c>
      <c r="AA10" s="105">
        <f t="shared" si="2"/>
        <v>145656.66666666669</v>
      </c>
      <c r="AB10" s="105">
        <f t="shared" si="2"/>
        <v>101106.66666666667</v>
      </c>
      <c r="AC10" s="105">
        <f t="shared" si="2"/>
        <v>99606.666666666672</v>
      </c>
      <c r="AD10" s="105">
        <f t="shared" si="2"/>
        <v>121106.66666666667</v>
      </c>
      <c r="AE10" s="105">
        <f t="shared" si="2"/>
        <v>834606.66666666674</v>
      </c>
      <c r="AF10" s="105">
        <f t="shared" si="2"/>
        <v>101106.66666666667</v>
      </c>
      <c r="AG10" s="105">
        <f t="shared" si="2"/>
        <v>114158.66666666667</v>
      </c>
      <c r="AH10" s="105">
        <f t="shared" si="2"/>
        <v>115658.66666666667</v>
      </c>
      <c r="AI10" s="105">
        <f t="shared" si="2"/>
        <v>344158.66666666669</v>
      </c>
      <c r="AJ10" s="105">
        <f t="shared" si="2"/>
        <v>115658.66666666667</v>
      </c>
      <c r="AK10" s="105">
        <f t="shared" si="2"/>
        <v>114158.66666666667</v>
      </c>
      <c r="AL10" s="104">
        <f t="shared" si="2"/>
        <v>345658.66666666669</v>
      </c>
      <c r="AM10" s="103">
        <f ca="1">SUM(OFFSET($C10,0,0,1,12))</f>
        <v>665116</v>
      </c>
      <c r="AN10" s="103">
        <f ca="1">SUM(OFFSET($C10,0,12,1,12))</f>
        <v>2268862.0000000005</v>
      </c>
      <c r="AO10" s="102">
        <f ca="1">SUM(OFFSET($C10,0,24,1,12))</f>
        <v>2552642.0000000005</v>
      </c>
    </row>
    <row r="11" spans="1:41" x14ac:dyDescent="0.2">
      <c r="A11" s="147" t="s">
        <v>100</v>
      </c>
      <c r="B11" s="109">
        <v>7980</v>
      </c>
      <c r="C11" s="64"/>
      <c r="D11" s="64"/>
      <c r="E11" s="64"/>
      <c r="F11" s="64"/>
      <c r="G11" s="64"/>
      <c r="H11" s="64"/>
      <c r="I11" s="64">
        <f t="shared" ref="I11:R12" si="3">$B11</f>
        <v>7980</v>
      </c>
      <c r="J11" s="64">
        <f t="shared" si="3"/>
        <v>7980</v>
      </c>
      <c r="K11" s="64">
        <f t="shared" si="3"/>
        <v>7980</v>
      </c>
      <c r="L11" s="64">
        <f t="shared" si="3"/>
        <v>7980</v>
      </c>
      <c r="M11" s="64">
        <f t="shared" si="3"/>
        <v>7980</v>
      </c>
      <c r="N11" s="64">
        <f t="shared" si="3"/>
        <v>7980</v>
      </c>
      <c r="O11" s="64">
        <f t="shared" si="3"/>
        <v>7980</v>
      </c>
      <c r="P11" s="64">
        <f t="shared" si="3"/>
        <v>7980</v>
      </c>
      <c r="Q11" s="64">
        <f t="shared" si="3"/>
        <v>7980</v>
      </c>
      <c r="R11" s="64">
        <f t="shared" si="3"/>
        <v>7980</v>
      </c>
      <c r="S11" s="64">
        <f t="shared" ref="S11:AB12" si="4">$B11</f>
        <v>7980</v>
      </c>
      <c r="T11" s="64">
        <f t="shared" si="4"/>
        <v>7980</v>
      </c>
      <c r="U11" s="64">
        <f t="shared" si="4"/>
        <v>7980</v>
      </c>
      <c r="V11" s="64">
        <f t="shared" si="4"/>
        <v>7980</v>
      </c>
      <c r="W11" s="64">
        <f t="shared" si="4"/>
        <v>7980</v>
      </c>
      <c r="X11" s="64">
        <f t="shared" si="4"/>
        <v>7980</v>
      </c>
      <c r="Y11" s="64">
        <f t="shared" si="4"/>
        <v>7980</v>
      </c>
      <c r="Z11" s="64">
        <f t="shared" si="4"/>
        <v>7980</v>
      </c>
      <c r="AA11" s="64">
        <f t="shared" si="4"/>
        <v>7980</v>
      </c>
      <c r="AB11" s="64">
        <f t="shared" si="4"/>
        <v>7980</v>
      </c>
      <c r="AC11" s="64">
        <f t="shared" ref="AC11:AL12" si="5">$B11</f>
        <v>7980</v>
      </c>
      <c r="AD11" s="64">
        <f t="shared" si="5"/>
        <v>7980</v>
      </c>
      <c r="AE11" s="64">
        <f t="shared" si="5"/>
        <v>7980</v>
      </c>
      <c r="AF11" s="64">
        <f t="shared" si="5"/>
        <v>7980</v>
      </c>
      <c r="AG11" s="64">
        <f t="shared" si="5"/>
        <v>7980</v>
      </c>
      <c r="AH11" s="64">
        <f t="shared" si="5"/>
        <v>7980</v>
      </c>
      <c r="AI11" s="64">
        <f t="shared" si="5"/>
        <v>7980</v>
      </c>
      <c r="AJ11" s="64">
        <f t="shared" si="5"/>
        <v>7980</v>
      </c>
      <c r="AK11" s="64">
        <f t="shared" si="5"/>
        <v>7980</v>
      </c>
      <c r="AL11" s="65">
        <f t="shared" si="5"/>
        <v>7980</v>
      </c>
      <c r="AM11" s="71">
        <f ca="1">SUM(OFFSET($C11,0,0,1,12))</f>
        <v>47880</v>
      </c>
      <c r="AN11" s="71">
        <f ca="1">SUM(OFFSET($C11,0,12,1,12))</f>
        <v>95760</v>
      </c>
      <c r="AO11" s="99">
        <f ca="1">SUM(OFFSET($C11,0,24,1,12))</f>
        <v>95760</v>
      </c>
    </row>
    <row r="12" spans="1:41" x14ac:dyDescent="0.2">
      <c r="A12" s="147" t="s">
        <v>101</v>
      </c>
      <c r="B12" s="109">
        <f>7276</f>
        <v>7276</v>
      </c>
      <c r="C12" s="64"/>
      <c r="D12" s="64"/>
      <c r="E12" s="64"/>
      <c r="F12" s="64"/>
      <c r="G12" s="64"/>
      <c r="H12" s="64"/>
      <c r="I12" s="64">
        <f t="shared" si="3"/>
        <v>7276</v>
      </c>
      <c r="J12" s="64">
        <f t="shared" si="3"/>
        <v>7276</v>
      </c>
      <c r="K12" s="64">
        <f t="shared" si="3"/>
        <v>7276</v>
      </c>
      <c r="L12" s="64">
        <f t="shared" si="3"/>
        <v>7276</v>
      </c>
      <c r="M12" s="64">
        <f t="shared" si="3"/>
        <v>7276</v>
      </c>
      <c r="N12" s="64">
        <f t="shared" si="3"/>
        <v>7276</v>
      </c>
      <c r="O12" s="64">
        <f t="shared" si="3"/>
        <v>7276</v>
      </c>
      <c r="P12" s="64">
        <f t="shared" si="3"/>
        <v>7276</v>
      </c>
      <c r="Q12" s="64">
        <f t="shared" si="3"/>
        <v>7276</v>
      </c>
      <c r="R12" s="64">
        <f t="shared" si="3"/>
        <v>7276</v>
      </c>
      <c r="S12" s="64">
        <f t="shared" si="4"/>
        <v>7276</v>
      </c>
      <c r="T12" s="64">
        <f t="shared" si="4"/>
        <v>7276</v>
      </c>
      <c r="U12" s="64">
        <f t="shared" si="4"/>
        <v>7276</v>
      </c>
      <c r="V12" s="64">
        <f t="shared" si="4"/>
        <v>7276</v>
      </c>
      <c r="W12" s="64">
        <f t="shared" si="4"/>
        <v>7276</v>
      </c>
      <c r="X12" s="64">
        <f t="shared" si="4"/>
        <v>7276</v>
      </c>
      <c r="Y12" s="64">
        <f t="shared" si="4"/>
        <v>7276</v>
      </c>
      <c r="Z12" s="64">
        <f t="shared" si="4"/>
        <v>7276</v>
      </c>
      <c r="AA12" s="64">
        <f t="shared" si="4"/>
        <v>7276</v>
      </c>
      <c r="AB12" s="64">
        <f t="shared" si="4"/>
        <v>7276</v>
      </c>
      <c r="AC12" s="64">
        <f t="shared" si="5"/>
        <v>7276</v>
      </c>
      <c r="AD12" s="64">
        <f t="shared" si="5"/>
        <v>7276</v>
      </c>
      <c r="AE12" s="64">
        <f t="shared" si="5"/>
        <v>7276</v>
      </c>
      <c r="AF12" s="64">
        <f t="shared" si="5"/>
        <v>7276</v>
      </c>
      <c r="AG12" s="64">
        <f t="shared" si="5"/>
        <v>7276</v>
      </c>
      <c r="AH12" s="64">
        <f t="shared" si="5"/>
        <v>7276</v>
      </c>
      <c r="AI12" s="64">
        <f t="shared" si="5"/>
        <v>7276</v>
      </c>
      <c r="AJ12" s="64">
        <f t="shared" si="5"/>
        <v>7276</v>
      </c>
      <c r="AK12" s="64">
        <f t="shared" si="5"/>
        <v>7276</v>
      </c>
      <c r="AL12" s="65">
        <f t="shared" si="5"/>
        <v>7276</v>
      </c>
      <c r="AM12" s="71">
        <f ca="1">SUM(OFFSET($C12,0,0,1,12))</f>
        <v>43656</v>
      </c>
      <c r="AN12" s="71">
        <f ca="1">SUM(OFFSET($C12,0,12,1,12))</f>
        <v>87312</v>
      </c>
      <c r="AO12" s="99">
        <f ca="1">SUM(OFFSET($C12,0,24,1,12))</f>
        <v>87312</v>
      </c>
    </row>
    <row r="13" spans="1:41" x14ac:dyDescent="0.2">
      <c r="A13" s="147" t="s">
        <v>102</v>
      </c>
      <c r="B13" s="109">
        <v>2623</v>
      </c>
      <c r="C13" s="64"/>
      <c r="D13" s="64"/>
      <c r="E13" s="64"/>
      <c r="F13" s="64"/>
      <c r="G13" s="64"/>
      <c r="H13" s="64"/>
      <c r="I13" s="64">
        <v>1170</v>
      </c>
      <c r="J13" s="64">
        <v>1170</v>
      </c>
      <c r="K13" s="64">
        <v>1170</v>
      </c>
      <c r="L13" s="64">
        <v>1170</v>
      </c>
      <c r="M13" s="64">
        <v>1170</v>
      </c>
      <c r="N13" s="64">
        <v>1170</v>
      </c>
      <c r="O13" s="64">
        <v>1170</v>
      </c>
      <c r="P13" s="64">
        <v>1170</v>
      </c>
      <c r="Q13" s="64">
        <v>1170</v>
      </c>
      <c r="R13" s="64">
        <v>1170</v>
      </c>
      <c r="S13" s="64">
        <v>1170</v>
      </c>
      <c r="T13" s="64">
        <v>1170</v>
      </c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5"/>
      <c r="AM13" s="71"/>
      <c r="AN13" s="71"/>
      <c r="AO13" s="99"/>
    </row>
    <row r="14" spans="1:41" x14ac:dyDescent="0.2">
      <c r="A14" s="147" t="s">
        <v>103</v>
      </c>
      <c r="B14" s="109">
        <f>92000/12</f>
        <v>7666.666666666667</v>
      </c>
      <c r="C14" s="64"/>
      <c r="D14" s="64"/>
      <c r="E14" s="64"/>
      <c r="F14" s="64"/>
      <c r="G14" s="64"/>
      <c r="H14" s="64"/>
      <c r="I14" s="64">
        <v>1404</v>
      </c>
      <c r="J14" s="64">
        <v>1404</v>
      </c>
      <c r="K14" s="64">
        <v>1404</v>
      </c>
      <c r="L14" s="64">
        <v>1404</v>
      </c>
      <c r="M14" s="64">
        <v>1404</v>
      </c>
      <c r="N14" s="64">
        <v>1404</v>
      </c>
      <c r="O14" s="64">
        <f t="shared" ref="O14:Y18" si="6">$B14</f>
        <v>7666.666666666667</v>
      </c>
      <c r="P14" s="64">
        <f t="shared" si="6"/>
        <v>7666.666666666667</v>
      </c>
      <c r="Q14" s="64">
        <f t="shared" si="6"/>
        <v>7666.666666666667</v>
      </c>
      <c r="R14" s="64">
        <f t="shared" si="6"/>
        <v>7666.666666666667</v>
      </c>
      <c r="S14" s="64">
        <f t="shared" si="6"/>
        <v>7666.666666666667</v>
      </c>
      <c r="T14" s="64">
        <f t="shared" si="6"/>
        <v>7666.666666666667</v>
      </c>
      <c r="U14" s="64">
        <f t="shared" si="6"/>
        <v>7666.666666666667</v>
      </c>
      <c r="V14" s="64">
        <f t="shared" si="6"/>
        <v>7666.666666666667</v>
      </c>
      <c r="W14" s="64">
        <f t="shared" si="6"/>
        <v>7666.666666666667</v>
      </c>
      <c r="X14" s="64">
        <f t="shared" si="6"/>
        <v>7666.666666666667</v>
      </c>
      <c r="Y14" s="64">
        <f t="shared" si="6"/>
        <v>7666.666666666667</v>
      </c>
      <c r="Z14" s="64">
        <f t="shared" ref="Z14:AL18" si="7">$B14</f>
        <v>7666.666666666667</v>
      </c>
      <c r="AA14" s="64">
        <f t="shared" si="7"/>
        <v>7666.666666666667</v>
      </c>
      <c r="AB14" s="64">
        <f t="shared" si="7"/>
        <v>7666.666666666667</v>
      </c>
      <c r="AC14" s="64">
        <f t="shared" si="7"/>
        <v>7666.666666666667</v>
      </c>
      <c r="AD14" s="64">
        <f t="shared" si="7"/>
        <v>7666.666666666667</v>
      </c>
      <c r="AE14" s="64">
        <f t="shared" si="7"/>
        <v>7666.666666666667</v>
      </c>
      <c r="AF14" s="64">
        <f t="shared" si="7"/>
        <v>7666.666666666667</v>
      </c>
      <c r="AG14" s="64">
        <f t="shared" si="7"/>
        <v>7666.666666666667</v>
      </c>
      <c r="AH14" s="64">
        <f t="shared" si="7"/>
        <v>7666.666666666667</v>
      </c>
      <c r="AI14" s="64">
        <f t="shared" si="7"/>
        <v>7666.666666666667</v>
      </c>
      <c r="AJ14" s="64">
        <f t="shared" si="7"/>
        <v>7666.666666666667</v>
      </c>
      <c r="AK14" s="64">
        <f t="shared" si="7"/>
        <v>7666.666666666667</v>
      </c>
      <c r="AL14" s="65">
        <f t="shared" si="7"/>
        <v>7666.666666666667</v>
      </c>
      <c r="AM14" s="71">
        <f t="shared" ref="AM14:AM32" ca="1" si="8">SUM(OFFSET($C14,0,0,1,12))</f>
        <v>8424</v>
      </c>
      <c r="AN14" s="71">
        <f t="shared" ref="AN14:AN32" ca="1" si="9">SUM(OFFSET($C14,0,12,1,12))</f>
        <v>92000.000000000015</v>
      </c>
      <c r="AO14" s="99">
        <f t="shared" ref="AO14:AO32" ca="1" si="10">SUM(OFFSET($C14,0,24,1,12))</f>
        <v>92000.000000000015</v>
      </c>
    </row>
    <row r="15" spans="1:41" x14ac:dyDescent="0.2">
      <c r="A15" s="147" t="s">
        <v>104</v>
      </c>
      <c r="B15" s="109">
        <f>7276</f>
        <v>7276</v>
      </c>
      <c r="C15" s="64"/>
      <c r="D15" s="64"/>
      <c r="E15" s="64"/>
      <c r="F15" s="64"/>
      <c r="G15" s="64"/>
      <c r="H15" s="64"/>
      <c r="I15" s="64"/>
      <c r="J15" s="64"/>
      <c r="K15" s="64">
        <f t="shared" ref="K15:O16" si="11">$B15</f>
        <v>7276</v>
      </c>
      <c r="L15" s="64">
        <f t="shared" si="11"/>
        <v>7276</v>
      </c>
      <c r="M15" s="64">
        <f t="shared" si="11"/>
        <v>7276</v>
      </c>
      <c r="N15" s="64">
        <f t="shared" si="11"/>
        <v>7276</v>
      </c>
      <c r="O15" s="64">
        <f t="shared" si="11"/>
        <v>7276</v>
      </c>
      <c r="P15" s="64">
        <f t="shared" si="6"/>
        <v>7276</v>
      </c>
      <c r="Q15" s="64">
        <f t="shared" si="6"/>
        <v>7276</v>
      </c>
      <c r="R15" s="64">
        <f t="shared" si="6"/>
        <v>7276</v>
      </c>
      <c r="S15" s="64">
        <f t="shared" si="6"/>
        <v>7276</v>
      </c>
      <c r="T15" s="64">
        <f t="shared" si="6"/>
        <v>7276</v>
      </c>
      <c r="U15" s="64">
        <f t="shared" si="6"/>
        <v>7276</v>
      </c>
      <c r="V15" s="64">
        <f t="shared" si="6"/>
        <v>7276</v>
      </c>
      <c r="W15" s="64">
        <f t="shared" si="6"/>
        <v>7276</v>
      </c>
      <c r="X15" s="64">
        <f t="shared" si="6"/>
        <v>7276</v>
      </c>
      <c r="Y15" s="64">
        <f t="shared" si="6"/>
        <v>7276</v>
      </c>
      <c r="Z15" s="64">
        <f t="shared" si="7"/>
        <v>7276</v>
      </c>
      <c r="AA15" s="64">
        <f t="shared" si="7"/>
        <v>7276</v>
      </c>
      <c r="AB15" s="64">
        <f t="shared" si="7"/>
        <v>7276</v>
      </c>
      <c r="AC15" s="64">
        <f t="shared" si="7"/>
        <v>7276</v>
      </c>
      <c r="AD15" s="64">
        <f t="shared" si="7"/>
        <v>7276</v>
      </c>
      <c r="AE15" s="64">
        <f t="shared" si="7"/>
        <v>7276</v>
      </c>
      <c r="AF15" s="64">
        <f t="shared" si="7"/>
        <v>7276</v>
      </c>
      <c r="AG15" s="64">
        <f t="shared" si="7"/>
        <v>7276</v>
      </c>
      <c r="AH15" s="64">
        <f t="shared" si="7"/>
        <v>7276</v>
      </c>
      <c r="AI15" s="64">
        <f t="shared" si="7"/>
        <v>7276</v>
      </c>
      <c r="AJ15" s="64">
        <f t="shared" si="7"/>
        <v>7276</v>
      </c>
      <c r="AK15" s="64">
        <f t="shared" si="7"/>
        <v>7276</v>
      </c>
      <c r="AL15" s="65">
        <f t="shared" si="7"/>
        <v>7276</v>
      </c>
      <c r="AM15" s="71">
        <f t="shared" ca="1" si="8"/>
        <v>29104</v>
      </c>
      <c r="AN15" s="71">
        <f t="shared" ca="1" si="9"/>
        <v>87312</v>
      </c>
      <c r="AO15" s="99">
        <f t="shared" ca="1" si="10"/>
        <v>87312</v>
      </c>
    </row>
    <row r="16" spans="1:41" x14ac:dyDescent="0.2">
      <c r="A16" s="147" t="s">
        <v>105</v>
      </c>
      <c r="B16" s="109">
        <v>7980</v>
      </c>
      <c r="C16" s="64"/>
      <c r="D16" s="64"/>
      <c r="E16" s="64"/>
      <c r="F16" s="64"/>
      <c r="G16" s="64"/>
      <c r="H16" s="64"/>
      <c r="I16" s="64"/>
      <c r="J16" s="64"/>
      <c r="K16" s="64">
        <f t="shared" si="11"/>
        <v>7980</v>
      </c>
      <c r="L16" s="64">
        <f t="shared" si="11"/>
        <v>7980</v>
      </c>
      <c r="M16" s="64">
        <f t="shared" si="11"/>
        <v>7980</v>
      </c>
      <c r="N16" s="64">
        <f t="shared" si="11"/>
        <v>7980</v>
      </c>
      <c r="O16" s="64">
        <f t="shared" si="11"/>
        <v>7980</v>
      </c>
      <c r="P16" s="64">
        <f t="shared" si="6"/>
        <v>7980</v>
      </c>
      <c r="Q16" s="64">
        <f t="shared" si="6"/>
        <v>7980</v>
      </c>
      <c r="R16" s="64">
        <f t="shared" si="6"/>
        <v>7980</v>
      </c>
      <c r="S16" s="64">
        <f t="shared" si="6"/>
        <v>7980</v>
      </c>
      <c r="T16" s="64">
        <f t="shared" si="6"/>
        <v>7980</v>
      </c>
      <c r="U16" s="64">
        <f t="shared" si="6"/>
        <v>7980</v>
      </c>
      <c r="V16" s="64">
        <f t="shared" si="6"/>
        <v>7980</v>
      </c>
      <c r="W16" s="64">
        <f t="shared" si="6"/>
        <v>7980</v>
      </c>
      <c r="X16" s="64">
        <f t="shared" si="6"/>
        <v>7980</v>
      </c>
      <c r="Y16" s="64">
        <f t="shared" si="6"/>
        <v>7980</v>
      </c>
      <c r="Z16" s="64">
        <f t="shared" si="7"/>
        <v>7980</v>
      </c>
      <c r="AA16" s="64">
        <f t="shared" si="7"/>
        <v>7980</v>
      </c>
      <c r="AB16" s="64">
        <f t="shared" si="7"/>
        <v>7980</v>
      </c>
      <c r="AC16" s="64">
        <f t="shared" si="7"/>
        <v>7980</v>
      </c>
      <c r="AD16" s="64">
        <f t="shared" si="7"/>
        <v>7980</v>
      </c>
      <c r="AE16" s="64">
        <f t="shared" si="7"/>
        <v>7980</v>
      </c>
      <c r="AF16" s="64">
        <f t="shared" si="7"/>
        <v>7980</v>
      </c>
      <c r="AG16" s="64">
        <f t="shared" si="7"/>
        <v>7980</v>
      </c>
      <c r="AH16" s="64">
        <f t="shared" si="7"/>
        <v>7980</v>
      </c>
      <c r="AI16" s="64">
        <f t="shared" si="7"/>
        <v>7980</v>
      </c>
      <c r="AJ16" s="64">
        <f t="shared" si="7"/>
        <v>7980</v>
      </c>
      <c r="AK16" s="64">
        <f t="shared" si="7"/>
        <v>7980</v>
      </c>
      <c r="AL16" s="65">
        <f t="shared" si="7"/>
        <v>7980</v>
      </c>
      <c r="AM16" s="71">
        <f t="shared" ca="1" si="8"/>
        <v>31920</v>
      </c>
      <c r="AN16" s="71">
        <f t="shared" ca="1" si="9"/>
        <v>95760</v>
      </c>
      <c r="AO16" s="99">
        <f t="shared" ca="1" si="10"/>
        <v>95760</v>
      </c>
    </row>
    <row r="17" spans="1:41" x14ac:dyDescent="0.2">
      <c r="A17" s="147" t="s">
        <v>106</v>
      </c>
      <c r="B17" s="109">
        <v>7620</v>
      </c>
      <c r="C17" s="64"/>
      <c r="D17" s="64"/>
      <c r="E17" s="64"/>
      <c r="F17" s="64"/>
      <c r="G17" s="64"/>
      <c r="H17" s="64"/>
      <c r="I17" s="64"/>
      <c r="J17" s="64"/>
      <c r="K17" s="64"/>
      <c r="L17" s="64">
        <f>$B17</f>
        <v>7620</v>
      </c>
      <c r="M17" s="64">
        <f>$B17</f>
        <v>7620</v>
      </c>
      <c r="N17" s="64">
        <f>$B17</f>
        <v>7620</v>
      </c>
      <c r="O17" s="64">
        <f>$B17</f>
        <v>7620</v>
      </c>
      <c r="P17" s="64">
        <f t="shared" si="6"/>
        <v>7620</v>
      </c>
      <c r="Q17" s="64">
        <f t="shared" si="6"/>
        <v>7620</v>
      </c>
      <c r="R17" s="64">
        <f t="shared" si="6"/>
        <v>7620</v>
      </c>
      <c r="S17" s="64">
        <f t="shared" si="6"/>
        <v>7620</v>
      </c>
      <c r="T17" s="64">
        <f t="shared" si="6"/>
        <v>7620</v>
      </c>
      <c r="U17" s="64">
        <f t="shared" si="6"/>
        <v>7620</v>
      </c>
      <c r="V17" s="64">
        <f t="shared" si="6"/>
        <v>7620</v>
      </c>
      <c r="W17" s="64">
        <f t="shared" si="6"/>
        <v>7620</v>
      </c>
      <c r="X17" s="64">
        <f t="shared" si="6"/>
        <v>7620</v>
      </c>
      <c r="Y17" s="64">
        <f t="shared" si="6"/>
        <v>7620</v>
      </c>
      <c r="Z17" s="64">
        <f t="shared" si="7"/>
        <v>7620</v>
      </c>
      <c r="AA17" s="64">
        <f t="shared" si="7"/>
        <v>7620</v>
      </c>
      <c r="AB17" s="64">
        <f t="shared" si="7"/>
        <v>7620</v>
      </c>
      <c r="AC17" s="64">
        <f t="shared" si="7"/>
        <v>7620</v>
      </c>
      <c r="AD17" s="64">
        <f t="shared" si="7"/>
        <v>7620</v>
      </c>
      <c r="AE17" s="64">
        <f t="shared" si="7"/>
        <v>7620</v>
      </c>
      <c r="AF17" s="64">
        <f t="shared" si="7"/>
        <v>7620</v>
      </c>
      <c r="AG17" s="64">
        <f t="shared" si="7"/>
        <v>7620</v>
      </c>
      <c r="AH17" s="64">
        <f t="shared" si="7"/>
        <v>7620</v>
      </c>
      <c r="AI17" s="64">
        <f t="shared" si="7"/>
        <v>7620</v>
      </c>
      <c r="AJ17" s="64">
        <f t="shared" si="7"/>
        <v>7620</v>
      </c>
      <c r="AK17" s="64">
        <f t="shared" si="7"/>
        <v>7620</v>
      </c>
      <c r="AL17" s="65">
        <f t="shared" si="7"/>
        <v>7620</v>
      </c>
      <c r="AM17" s="71">
        <f t="shared" ca="1" si="8"/>
        <v>22860</v>
      </c>
      <c r="AN17" s="71">
        <f t="shared" ca="1" si="9"/>
        <v>91440</v>
      </c>
      <c r="AO17" s="99">
        <f t="shared" ca="1" si="10"/>
        <v>91440</v>
      </c>
    </row>
    <row r="18" spans="1:41" x14ac:dyDescent="0.2">
      <c r="A18" s="147" t="s">
        <v>107</v>
      </c>
      <c r="B18" s="109">
        <f>7276</f>
        <v>7276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>
        <f t="shared" ref="M18:O18" si="12">$B18</f>
        <v>7276</v>
      </c>
      <c r="N18" s="64">
        <f t="shared" si="12"/>
        <v>7276</v>
      </c>
      <c r="O18" s="64">
        <f t="shared" si="12"/>
        <v>7276</v>
      </c>
      <c r="P18" s="64">
        <f t="shared" si="6"/>
        <v>7276</v>
      </c>
      <c r="Q18" s="64">
        <f t="shared" si="6"/>
        <v>7276</v>
      </c>
      <c r="R18" s="64">
        <f t="shared" si="6"/>
        <v>7276</v>
      </c>
      <c r="S18" s="64">
        <f t="shared" si="6"/>
        <v>7276</v>
      </c>
      <c r="T18" s="64">
        <f t="shared" si="6"/>
        <v>7276</v>
      </c>
      <c r="U18" s="64">
        <f t="shared" si="6"/>
        <v>7276</v>
      </c>
      <c r="V18" s="64">
        <f t="shared" si="6"/>
        <v>7276</v>
      </c>
      <c r="W18" s="64">
        <f t="shared" si="6"/>
        <v>7276</v>
      </c>
      <c r="X18" s="64">
        <f t="shared" si="6"/>
        <v>7276</v>
      </c>
      <c r="Y18" s="64">
        <f t="shared" si="6"/>
        <v>7276</v>
      </c>
      <c r="Z18" s="64">
        <f t="shared" si="7"/>
        <v>7276</v>
      </c>
      <c r="AA18" s="64">
        <f t="shared" si="7"/>
        <v>7276</v>
      </c>
      <c r="AB18" s="64">
        <f t="shared" si="7"/>
        <v>7276</v>
      </c>
      <c r="AC18" s="64">
        <f t="shared" si="7"/>
        <v>7276</v>
      </c>
      <c r="AD18" s="64">
        <f t="shared" si="7"/>
        <v>7276</v>
      </c>
      <c r="AE18" s="64">
        <f t="shared" si="7"/>
        <v>7276</v>
      </c>
      <c r="AF18" s="64">
        <f t="shared" si="7"/>
        <v>7276</v>
      </c>
      <c r="AG18" s="64">
        <f t="shared" si="7"/>
        <v>7276</v>
      </c>
      <c r="AH18" s="64">
        <f t="shared" si="7"/>
        <v>7276</v>
      </c>
      <c r="AI18" s="64">
        <f t="shared" si="7"/>
        <v>7276</v>
      </c>
      <c r="AJ18" s="64">
        <f t="shared" si="7"/>
        <v>7276</v>
      </c>
      <c r="AK18" s="64">
        <f t="shared" si="7"/>
        <v>7276</v>
      </c>
      <c r="AL18" s="65">
        <f t="shared" si="7"/>
        <v>7276</v>
      </c>
      <c r="AM18" s="71">
        <f t="shared" ca="1" si="8"/>
        <v>14552</v>
      </c>
      <c r="AN18" s="71">
        <f t="shared" ca="1" si="9"/>
        <v>87312</v>
      </c>
      <c r="AO18" s="99">
        <f t="shared" ca="1" si="10"/>
        <v>87312</v>
      </c>
    </row>
    <row r="19" spans="1:41" x14ac:dyDescent="0.2">
      <c r="A19" s="148" t="s">
        <v>108</v>
      </c>
      <c r="B19" s="109">
        <f>7276</f>
        <v>7276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>
        <f t="shared" ref="U19:AL19" si="13">$B19</f>
        <v>7276</v>
      </c>
      <c r="V19" s="64">
        <f t="shared" si="13"/>
        <v>7276</v>
      </c>
      <c r="W19" s="64">
        <f t="shared" si="13"/>
        <v>7276</v>
      </c>
      <c r="X19" s="64">
        <f t="shared" si="13"/>
        <v>7276</v>
      </c>
      <c r="Y19" s="64">
        <f t="shared" si="13"/>
        <v>7276</v>
      </c>
      <c r="Z19" s="64">
        <f t="shared" si="13"/>
        <v>7276</v>
      </c>
      <c r="AA19" s="64">
        <f t="shared" si="13"/>
        <v>7276</v>
      </c>
      <c r="AB19" s="64">
        <f t="shared" si="13"/>
        <v>7276</v>
      </c>
      <c r="AC19" s="64">
        <f t="shared" si="13"/>
        <v>7276</v>
      </c>
      <c r="AD19" s="64">
        <f t="shared" si="13"/>
        <v>7276</v>
      </c>
      <c r="AE19" s="64">
        <f t="shared" si="13"/>
        <v>7276</v>
      </c>
      <c r="AF19" s="64">
        <f t="shared" si="13"/>
        <v>7276</v>
      </c>
      <c r="AG19" s="64">
        <f t="shared" si="13"/>
        <v>7276</v>
      </c>
      <c r="AH19" s="64">
        <f t="shared" si="13"/>
        <v>7276</v>
      </c>
      <c r="AI19" s="64">
        <f t="shared" si="13"/>
        <v>7276</v>
      </c>
      <c r="AJ19" s="64">
        <f t="shared" si="13"/>
        <v>7276</v>
      </c>
      <c r="AK19" s="64">
        <f t="shared" si="13"/>
        <v>7276</v>
      </c>
      <c r="AL19" s="65">
        <f t="shared" si="13"/>
        <v>7276</v>
      </c>
      <c r="AM19" s="71">
        <f t="shared" ca="1" si="8"/>
        <v>0</v>
      </c>
      <c r="AN19" s="71">
        <f t="shared" ca="1" si="9"/>
        <v>43656</v>
      </c>
      <c r="AO19" s="99">
        <f t="shared" ca="1" si="10"/>
        <v>87312</v>
      </c>
    </row>
    <row r="20" spans="1:41" x14ac:dyDescent="0.2">
      <c r="A20" s="67" t="s">
        <v>109</v>
      </c>
      <c r="B20" s="109">
        <v>7980</v>
      </c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64">
        <f t="shared" ref="X20:AL20" si="14">$B20</f>
        <v>7980</v>
      </c>
      <c r="Y20" s="64">
        <f t="shared" si="14"/>
        <v>7980</v>
      </c>
      <c r="Z20" s="64">
        <f t="shared" si="14"/>
        <v>7980</v>
      </c>
      <c r="AA20" s="64">
        <f t="shared" si="14"/>
        <v>7980</v>
      </c>
      <c r="AB20" s="64">
        <f t="shared" si="14"/>
        <v>7980</v>
      </c>
      <c r="AC20" s="64">
        <f t="shared" si="14"/>
        <v>7980</v>
      </c>
      <c r="AD20" s="64">
        <f t="shared" si="14"/>
        <v>7980</v>
      </c>
      <c r="AE20" s="64">
        <f t="shared" si="14"/>
        <v>7980</v>
      </c>
      <c r="AF20" s="64">
        <f t="shared" si="14"/>
        <v>7980</v>
      </c>
      <c r="AG20" s="64">
        <f t="shared" si="14"/>
        <v>7980</v>
      </c>
      <c r="AH20" s="64">
        <f t="shared" si="14"/>
        <v>7980</v>
      </c>
      <c r="AI20" s="64">
        <f t="shared" si="14"/>
        <v>7980</v>
      </c>
      <c r="AJ20" s="64">
        <f t="shared" si="14"/>
        <v>7980</v>
      </c>
      <c r="AK20" s="64">
        <f t="shared" si="14"/>
        <v>7980</v>
      </c>
      <c r="AL20" s="65">
        <f t="shared" si="14"/>
        <v>7980</v>
      </c>
      <c r="AM20" s="71">
        <f t="shared" ca="1" si="8"/>
        <v>0</v>
      </c>
      <c r="AN20" s="71">
        <f t="shared" ca="1" si="9"/>
        <v>23940</v>
      </c>
      <c r="AO20" s="99">
        <f t="shared" ca="1" si="10"/>
        <v>95760</v>
      </c>
    </row>
    <row r="21" spans="1:41" x14ac:dyDescent="0.2">
      <c r="A21" s="148" t="s">
        <v>110</v>
      </c>
      <c r="B21" s="109">
        <f>7276</f>
        <v>7276</v>
      </c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>
        <f t="shared" ref="AA21:AL21" si="15">$B21</f>
        <v>7276</v>
      </c>
      <c r="AB21" s="64">
        <f t="shared" si="15"/>
        <v>7276</v>
      </c>
      <c r="AC21" s="64">
        <f t="shared" si="15"/>
        <v>7276</v>
      </c>
      <c r="AD21" s="64">
        <f t="shared" si="15"/>
        <v>7276</v>
      </c>
      <c r="AE21" s="64">
        <f t="shared" si="15"/>
        <v>7276</v>
      </c>
      <c r="AF21" s="64">
        <f t="shared" si="15"/>
        <v>7276</v>
      </c>
      <c r="AG21" s="64">
        <f t="shared" si="15"/>
        <v>7276</v>
      </c>
      <c r="AH21" s="64">
        <f t="shared" si="15"/>
        <v>7276</v>
      </c>
      <c r="AI21" s="64">
        <f t="shared" si="15"/>
        <v>7276</v>
      </c>
      <c r="AJ21" s="64">
        <f t="shared" si="15"/>
        <v>7276</v>
      </c>
      <c r="AK21" s="64">
        <f t="shared" si="15"/>
        <v>7276</v>
      </c>
      <c r="AL21" s="65">
        <f t="shared" si="15"/>
        <v>7276</v>
      </c>
      <c r="AM21" s="71">
        <f t="shared" ca="1" si="8"/>
        <v>0</v>
      </c>
      <c r="AN21" s="71">
        <f t="shared" ca="1" si="9"/>
        <v>0</v>
      </c>
      <c r="AO21" s="99">
        <f t="shared" ca="1" si="10"/>
        <v>87312</v>
      </c>
    </row>
    <row r="22" spans="1:41" x14ac:dyDescent="0.2">
      <c r="A22" s="67" t="s">
        <v>111</v>
      </c>
      <c r="B22" s="109">
        <f>7276</f>
        <v>7276</v>
      </c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64">
        <f t="shared" ref="AG22:AL23" si="16">$B22</f>
        <v>7276</v>
      </c>
      <c r="AH22" s="64">
        <f t="shared" si="16"/>
        <v>7276</v>
      </c>
      <c r="AI22" s="64">
        <f t="shared" si="16"/>
        <v>7276</v>
      </c>
      <c r="AJ22" s="64">
        <f t="shared" si="16"/>
        <v>7276</v>
      </c>
      <c r="AK22" s="64">
        <f t="shared" si="16"/>
        <v>7276</v>
      </c>
      <c r="AL22" s="65">
        <f t="shared" si="16"/>
        <v>7276</v>
      </c>
      <c r="AM22" s="71">
        <f t="shared" ca="1" si="8"/>
        <v>0</v>
      </c>
      <c r="AN22" s="71">
        <f t="shared" ca="1" si="9"/>
        <v>0</v>
      </c>
      <c r="AO22" s="99">
        <f t="shared" ca="1" si="10"/>
        <v>43656</v>
      </c>
    </row>
    <row r="23" spans="1:41" x14ac:dyDescent="0.2">
      <c r="A23" s="67" t="s">
        <v>109</v>
      </c>
      <c r="B23" s="109">
        <f>7276</f>
        <v>7276</v>
      </c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64">
        <f t="shared" si="16"/>
        <v>7276</v>
      </c>
      <c r="AH23" s="64">
        <f t="shared" si="16"/>
        <v>7276</v>
      </c>
      <c r="AI23" s="64">
        <f t="shared" si="16"/>
        <v>7276</v>
      </c>
      <c r="AJ23" s="64">
        <f t="shared" si="16"/>
        <v>7276</v>
      </c>
      <c r="AK23" s="64">
        <f t="shared" si="16"/>
        <v>7276</v>
      </c>
      <c r="AL23" s="65">
        <f t="shared" si="16"/>
        <v>7276</v>
      </c>
      <c r="AM23" s="71">
        <f t="shared" ca="1" si="8"/>
        <v>0</v>
      </c>
      <c r="AN23" s="71">
        <f t="shared" ca="1" si="9"/>
        <v>0</v>
      </c>
      <c r="AO23" s="99">
        <f t="shared" ca="1" si="10"/>
        <v>43656</v>
      </c>
    </row>
    <row r="24" spans="1:41" x14ac:dyDescent="0.2">
      <c r="A24" s="149" t="s">
        <v>112</v>
      </c>
      <c r="B24" s="98"/>
      <c r="C24" s="163"/>
      <c r="D24" s="163"/>
      <c r="E24" s="163"/>
      <c r="F24" s="163"/>
      <c r="G24" s="163"/>
      <c r="H24" s="163"/>
      <c r="I24" s="163">
        <v>1000</v>
      </c>
      <c r="J24" s="163">
        <v>1000</v>
      </c>
      <c r="K24" s="163">
        <v>1000</v>
      </c>
      <c r="L24" s="163">
        <v>1000</v>
      </c>
      <c r="M24" s="163">
        <v>1000</v>
      </c>
      <c r="N24" s="163">
        <v>1000</v>
      </c>
      <c r="O24" s="163">
        <v>1000</v>
      </c>
      <c r="P24" s="163">
        <v>1000</v>
      </c>
      <c r="Q24" s="163">
        <v>1000</v>
      </c>
      <c r="R24" s="163">
        <v>1000</v>
      </c>
      <c r="S24" s="163">
        <v>1000</v>
      </c>
      <c r="T24" s="163">
        <v>2000</v>
      </c>
      <c r="U24" s="163">
        <v>2000</v>
      </c>
      <c r="V24" s="163">
        <v>2000</v>
      </c>
      <c r="W24" s="163">
        <v>2000</v>
      </c>
      <c r="X24" s="163">
        <v>2000</v>
      </c>
      <c r="Y24" s="163">
        <v>2000</v>
      </c>
      <c r="Z24" s="163">
        <v>2000</v>
      </c>
      <c r="AA24" s="163">
        <v>2000</v>
      </c>
      <c r="AB24" s="163">
        <v>2000</v>
      </c>
      <c r="AC24" s="163">
        <v>2000</v>
      </c>
      <c r="AD24" s="163">
        <v>2000</v>
      </c>
      <c r="AE24" s="163">
        <v>2000</v>
      </c>
      <c r="AF24" s="163">
        <v>2000</v>
      </c>
      <c r="AG24" s="163">
        <v>2000</v>
      </c>
      <c r="AH24" s="163">
        <v>2000</v>
      </c>
      <c r="AI24" s="163">
        <v>2000</v>
      </c>
      <c r="AJ24" s="163">
        <v>2000</v>
      </c>
      <c r="AK24" s="163">
        <v>2000</v>
      </c>
      <c r="AL24" s="164">
        <v>2000</v>
      </c>
      <c r="AM24" s="71">
        <f t="shared" ca="1" si="8"/>
        <v>6000</v>
      </c>
      <c r="AN24" s="71">
        <f t="shared" ca="1" si="9"/>
        <v>19000</v>
      </c>
      <c r="AO24" s="99">
        <f t="shared" ca="1" si="10"/>
        <v>24000</v>
      </c>
    </row>
    <row r="25" spans="1:41" x14ac:dyDescent="0.2">
      <c r="A25" s="149" t="s">
        <v>113</v>
      </c>
      <c r="B25" s="98"/>
      <c r="C25" s="163">
        <v>50000</v>
      </c>
      <c r="D25" s="163"/>
      <c r="E25" s="163"/>
      <c r="F25" s="163"/>
      <c r="G25" s="163"/>
      <c r="H25" s="163"/>
      <c r="I25" s="163">
        <v>20000</v>
      </c>
      <c r="J25" s="163"/>
      <c r="K25" s="163"/>
      <c r="L25" s="163"/>
      <c r="M25" s="163"/>
      <c r="N25" s="163"/>
      <c r="O25" s="163"/>
      <c r="P25" s="163"/>
      <c r="Q25" s="163"/>
      <c r="R25" s="163">
        <v>20000</v>
      </c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>
        <v>20000</v>
      </c>
      <c r="AE25" s="163"/>
      <c r="AF25" s="163"/>
      <c r="AG25" s="163"/>
      <c r="AH25" s="163"/>
      <c r="AI25" s="163"/>
      <c r="AJ25" s="163"/>
      <c r="AK25" s="163"/>
      <c r="AL25" s="164"/>
      <c r="AM25" s="71">
        <f t="shared" ca="1" si="8"/>
        <v>70000</v>
      </c>
      <c r="AN25" s="71">
        <f t="shared" ca="1" si="9"/>
        <v>20000</v>
      </c>
      <c r="AO25" s="99">
        <f t="shared" ca="1" si="10"/>
        <v>20000</v>
      </c>
    </row>
    <row r="26" spans="1:41" x14ac:dyDescent="0.2">
      <c r="A26" s="67" t="s">
        <v>114</v>
      </c>
      <c r="B26" s="98"/>
      <c r="C26" s="163"/>
      <c r="D26" s="163"/>
      <c r="E26" s="163">
        <f>85000</f>
        <v>85000</v>
      </c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>
        <f>85000</f>
        <v>85000</v>
      </c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4"/>
      <c r="AM26" s="71">
        <f t="shared" ca="1" si="8"/>
        <v>85000</v>
      </c>
      <c r="AN26" s="71">
        <f t="shared" ca="1" si="9"/>
        <v>85000</v>
      </c>
      <c r="AO26" s="99">
        <f t="shared" ca="1" si="10"/>
        <v>0</v>
      </c>
    </row>
    <row r="27" spans="1:41" x14ac:dyDescent="0.2">
      <c r="A27" s="149" t="s">
        <v>115</v>
      </c>
      <c r="B27" s="98"/>
      <c r="C27" s="163"/>
      <c r="D27" s="163"/>
      <c r="E27" s="163">
        <v>30000</v>
      </c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>
        <v>30000</v>
      </c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4"/>
      <c r="AM27" s="71">
        <f t="shared" ca="1" si="8"/>
        <v>30000</v>
      </c>
      <c r="AN27" s="71">
        <f t="shared" ca="1" si="9"/>
        <v>30000</v>
      </c>
      <c r="AO27" s="99">
        <f t="shared" ca="1" si="10"/>
        <v>0</v>
      </c>
    </row>
    <row r="28" spans="1:41" x14ac:dyDescent="0.2">
      <c r="A28" s="149" t="s">
        <v>116</v>
      </c>
      <c r="B28" s="98"/>
      <c r="C28" s="163"/>
      <c r="D28" s="163"/>
      <c r="E28" s="163">
        <v>160000</v>
      </c>
      <c r="F28" s="163"/>
      <c r="G28" s="163"/>
      <c r="H28" s="163"/>
      <c r="I28" s="163">
        <v>21000</v>
      </c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>
        <v>100000</v>
      </c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4"/>
      <c r="AM28" s="71">
        <f t="shared" ca="1" si="8"/>
        <v>181000</v>
      </c>
      <c r="AN28" s="71">
        <f t="shared" ca="1" si="9"/>
        <v>100000</v>
      </c>
      <c r="AO28" s="99">
        <f t="shared" ca="1" si="10"/>
        <v>0</v>
      </c>
    </row>
    <row r="29" spans="1:41" x14ac:dyDescent="0.2">
      <c r="A29" s="149" t="s">
        <v>117</v>
      </c>
      <c r="B29" s="98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>
        <f>15000*1.07</f>
        <v>16050.000000000002</v>
      </c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>
        <f>15000*1.07</f>
        <v>16050.000000000002</v>
      </c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4"/>
      <c r="AM29" s="71">
        <f t="shared" ca="1" si="8"/>
        <v>0</v>
      </c>
      <c r="AN29" s="71">
        <f t="shared" ca="1" si="9"/>
        <v>16050.000000000002</v>
      </c>
      <c r="AO29" s="99">
        <f t="shared" ca="1" si="10"/>
        <v>16050.000000000002</v>
      </c>
    </row>
    <row r="30" spans="1:41" x14ac:dyDescent="0.2">
      <c r="A30" s="149" t="s">
        <v>118</v>
      </c>
      <c r="B30" s="98"/>
      <c r="C30" s="163"/>
      <c r="D30" s="163"/>
      <c r="E30" s="163"/>
      <c r="F30" s="163"/>
      <c r="G30" s="163"/>
      <c r="H30" s="163"/>
      <c r="I30" s="163">
        <f>200*2*22</f>
        <v>8800</v>
      </c>
      <c r="J30" s="163">
        <f>200*2*22</f>
        <v>8800</v>
      </c>
      <c r="K30" s="163">
        <f>200*2*22</f>
        <v>8800</v>
      </c>
      <c r="L30" s="163">
        <f>200*3*22</f>
        <v>13200</v>
      </c>
      <c r="M30" s="163">
        <f>200*3*22</f>
        <v>13200</v>
      </c>
      <c r="N30" s="163">
        <f>200*3*22</f>
        <v>13200</v>
      </c>
      <c r="O30" s="163">
        <f t="shared" ref="O30:T30" si="17">200*4*22</f>
        <v>17600</v>
      </c>
      <c r="P30" s="163">
        <f t="shared" si="17"/>
        <v>17600</v>
      </c>
      <c r="Q30" s="163">
        <f t="shared" si="17"/>
        <v>17600</v>
      </c>
      <c r="R30" s="163">
        <f t="shared" si="17"/>
        <v>17600</v>
      </c>
      <c r="S30" s="163">
        <f t="shared" si="17"/>
        <v>17600</v>
      </c>
      <c r="T30" s="163">
        <f t="shared" si="17"/>
        <v>17600</v>
      </c>
      <c r="U30" s="163">
        <f t="shared" ref="U30:AL30" si="18">200*5*22</f>
        <v>22000</v>
      </c>
      <c r="V30" s="163">
        <f t="shared" si="18"/>
        <v>22000</v>
      </c>
      <c r="W30" s="163">
        <f t="shared" si="18"/>
        <v>22000</v>
      </c>
      <c r="X30" s="163">
        <f t="shared" si="18"/>
        <v>22000</v>
      </c>
      <c r="Y30" s="163">
        <f t="shared" si="18"/>
        <v>22000</v>
      </c>
      <c r="Z30" s="163">
        <f t="shared" si="18"/>
        <v>22000</v>
      </c>
      <c r="AA30" s="163">
        <f t="shared" si="18"/>
        <v>22000</v>
      </c>
      <c r="AB30" s="163">
        <f t="shared" si="18"/>
        <v>22000</v>
      </c>
      <c r="AC30" s="163">
        <f t="shared" si="18"/>
        <v>22000</v>
      </c>
      <c r="AD30" s="163">
        <f t="shared" si="18"/>
        <v>22000</v>
      </c>
      <c r="AE30" s="163">
        <f t="shared" si="18"/>
        <v>22000</v>
      </c>
      <c r="AF30" s="163">
        <f t="shared" si="18"/>
        <v>22000</v>
      </c>
      <c r="AG30" s="163">
        <f t="shared" si="18"/>
        <v>22000</v>
      </c>
      <c r="AH30" s="163">
        <f t="shared" si="18"/>
        <v>22000</v>
      </c>
      <c r="AI30" s="163">
        <f t="shared" si="18"/>
        <v>22000</v>
      </c>
      <c r="AJ30" s="163">
        <f t="shared" si="18"/>
        <v>22000</v>
      </c>
      <c r="AK30" s="163">
        <f t="shared" si="18"/>
        <v>22000</v>
      </c>
      <c r="AL30" s="164">
        <f t="shared" si="18"/>
        <v>22000</v>
      </c>
      <c r="AM30" s="71">
        <f t="shared" ca="1" si="8"/>
        <v>66000</v>
      </c>
      <c r="AN30" s="71">
        <f t="shared" ca="1" si="9"/>
        <v>237600</v>
      </c>
      <c r="AO30" s="99">
        <f t="shared" ca="1" si="10"/>
        <v>264000</v>
      </c>
    </row>
    <row r="31" spans="1:41" x14ac:dyDescent="0.2">
      <c r="A31" s="67" t="s">
        <v>119</v>
      </c>
      <c r="B31" s="98"/>
      <c r="C31" s="163"/>
      <c r="D31" s="163"/>
      <c r="E31" s="163"/>
      <c r="F31" s="163"/>
      <c r="G31" s="165"/>
      <c r="H31" s="163">
        <v>5000</v>
      </c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>
        <v>5000</v>
      </c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>
        <v>5000</v>
      </c>
      <c r="AF31" s="163"/>
      <c r="AG31" s="163"/>
      <c r="AH31" s="163"/>
      <c r="AI31" s="163"/>
      <c r="AJ31" s="163"/>
      <c r="AK31" s="163"/>
      <c r="AL31" s="164"/>
      <c r="AM31" s="71">
        <f t="shared" ca="1" si="8"/>
        <v>5000</v>
      </c>
      <c r="AN31" s="71">
        <f t="shared" ca="1" si="9"/>
        <v>5000</v>
      </c>
      <c r="AO31" s="99">
        <f t="shared" ca="1" si="10"/>
        <v>5000</v>
      </c>
    </row>
    <row r="32" spans="1:41" x14ac:dyDescent="0.2">
      <c r="A32" s="149" t="s">
        <v>120</v>
      </c>
      <c r="B32" s="98"/>
      <c r="C32" s="163"/>
      <c r="D32" s="163"/>
      <c r="E32" s="163"/>
      <c r="F32" s="163"/>
      <c r="G32" s="163"/>
      <c r="H32" s="163"/>
      <c r="I32" s="163"/>
      <c r="J32" s="163">
        <v>500</v>
      </c>
      <c r="K32" s="163"/>
      <c r="L32" s="163">
        <v>500</v>
      </c>
      <c r="M32" s="163"/>
      <c r="N32" s="163">
        <v>700</v>
      </c>
      <c r="O32" s="163"/>
      <c r="P32" s="163">
        <v>900</v>
      </c>
      <c r="Q32" s="163"/>
      <c r="R32" s="163">
        <v>900</v>
      </c>
      <c r="S32" s="163"/>
      <c r="T32" s="163">
        <v>900</v>
      </c>
      <c r="U32" s="163"/>
      <c r="V32" s="163">
        <v>1500</v>
      </c>
      <c r="W32" s="163"/>
      <c r="X32" s="163">
        <v>1500</v>
      </c>
      <c r="Y32" s="163"/>
      <c r="Z32" s="163">
        <v>1500</v>
      </c>
      <c r="AA32" s="163"/>
      <c r="AB32" s="163">
        <v>1500</v>
      </c>
      <c r="AC32" s="163"/>
      <c r="AD32" s="163">
        <v>1500</v>
      </c>
      <c r="AE32" s="163"/>
      <c r="AF32" s="163">
        <v>1500</v>
      </c>
      <c r="AG32" s="163"/>
      <c r="AH32" s="163">
        <v>1500</v>
      </c>
      <c r="AI32" s="163"/>
      <c r="AJ32" s="163">
        <v>1500</v>
      </c>
      <c r="AK32" s="163"/>
      <c r="AL32" s="164">
        <v>1500</v>
      </c>
      <c r="AM32" s="71">
        <f t="shared" ca="1" si="8"/>
        <v>1700</v>
      </c>
      <c r="AN32" s="71">
        <f t="shared" ca="1" si="9"/>
        <v>7200</v>
      </c>
      <c r="AO32" s="99">
        <f t="shared" ca="1" si="10"/>
        <v>9000</v>
      </c>
    </row>
    <row r="33" spans="1:41" x14ac:dyDescent="0.2">
      <c r="A33" s="149" t="s">
        <v>121</v>
      </c>
      <c r="B33" s="98"/>
      <c r="C33" s="163"/>
      <c r="D33" s="163"/>
      <c r="E33" s="163"/>
      <c r="F33" s="163"/>
      <c r="G33" s="163"/>
      <c r="H33" s="163"/>
      <c r="I33" s="163"/>
      <c r="J33" s="163"/>
      <c r="K33" s="163">
        <v>10000</v>
      </c>
      <c r="L33" s="163"/>
      <c r="M33" s="163">
        <v>10000</v>
      </c>
      <c r="N33" s="163"/>
      <c r="O33" s="163">
        <v>5000</v>
      </c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4"/>
      <c r="AM33" s="71"/>
      <c r="AN33" s="71"/>
      <c r="AO33" s="99"/>
    </row>
    <row r="34" spans="1:41" x14ac:dyDescent="0.2">
      <c r="A34" s="149" t="s">
        <v>122</v>
      </c>
      <c r="B34" s="98"/>
      <c r="C34" s="165"/>
      <c r="D34" s="163"/>
      <c r="E34" s="163"/>
      <c r="F34" s="163"/>
      <c r="G34" s="163"/>
      <c r="H34" s="163"/>
      <c r="I34" s="165"/>
      <c r="J34" s="163"/>
      <c r="K34" s="163"/>
      <c r="L34" s="163"/>
      <c r="M34" s="168"/>
      <c r="N34" s="168"/>
      <c r="O34" s="163">
        <f>17500+10000+60000+15000</f>
        <v>102500</v>
      </c>
      <c r="P34" s="163"/>
      <c r="Q34" s="163"/>
      <c r="R34" s="163"/>
      <c r="S34" s="163">
        <v>30000</v>
      </c>
      <c r="T34" s="168"/>
      <c r="U34" s="163"/>
      <c r="V34" s="163"/>
      <c r="W34" s="163">
        <v>30000</v>
      </c>
      <c r="X34" s="163"/>
      <c r="Y34" s="163"/>
      <c r="Z34" s="163"/>
      <c r="AA34" s="163">
        <v>30000</v>
      </c>
      <c r="AB34" s="163"/>
      <c r="AC34" s="163"/>
      <c r="AD34" s="163"/>
      <c r="AE34" s="163">
        <v>30000</v>
      </c>
      <c r="AF34" s="163"/>
      <c r="AG34" s="163"/>
      <c r="AH34" s="163"/>
      <c r="AI34" s="163">
        <v>30000</v>
      </c>
      <c r="AJ34" s="163"/>
      <c r="AK34" s="163"/>
      <c r="AL34" s="164">
        <v>30000</v>
      </c>
      <c r="AM34" s="71">
        <f ca="1">SUM(OFFSET($C34,0,0,1,12))</f>
        <v>0</v>
      </c>
      <c r="AN34" s="71">
        <f ca="1">SUM(OFFSET($C34,0,12,1,12))</f>
        <v>162500</v>
      </c>
      <c r="AO34" s="99">
        <f ca="1">SUM(OFFSET($C34,0,24,1,12))</f>
        <v>120000</v>
      </c>
    </row>
    <row r="35" spans="1:41" x14ac:dyDescent="0.2">
      <c r="A35" s="150" t="s">
        <v>123</v>
      </c>
      <c r="B35" s="110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>
        <v>700000</v>
      </c>
      <c r="T35" s="163"/>
      <c r="U35" s="163"/>
      <c r="V35" s="163"/>
      <c r="W35" s="163"/>
      <c r="X35" s="163"/>
      <c r="Y35" s="163">
        <v>170000</v>
      </c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4"/>
      <c r="AM35" s="71">
        <f ca="1">SUM(OFFSET($C35,0,0,1,12))</f>
        <v>0</v>
      </c>
      <c r="AN35" s="71">
        <f ca="1">SUM(OFFSET($C35,0,12,1,12))</f>
        <v>870000</v>
      </c>
      <c r="AO35" s="99">
        <f ca="1">SUM(OFFSET($C35,0,24,1,12))</f>
        <v>0</v>
      </c>
    </row>
    <row r="36" spans="1:41" x14ac:dyDescent="0.2">
      <c r="A36" s="151" t="s">
        <v>124</v>
      </c>
      <c r="B36" s="108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>
        <v>700000</v>
      </c>
      <c r="AF36" s="166"/>
      <c r="AG36" s="166"/>
      <c r="AH36" s="166"/>
      <c r="AI36" s="166">
        <v>200000</v>
      </c>
      <c r="AJ36" s="166"/>
      <c r="AK36" s="166"/>
      <c r="AL36" s="167">
        <v>200000</v>
      </c>
      <c r="AM36" s="107">
        <f ca="1">SUM(OFFSET($C36,0,0,1,12))</f>
        <v>0</v>
      </c>
      <c r="AN36" s="107">
        <f ca="1">SUM(OFFSET($C36,0,12,1,12))</f>
        <v>0</v>
      </c>
      <c r="AO36" s="106">
        <f ca="1">SUM(OFFSET($C36,0,24,1,12))</f>
        <v>1100000</v>
      </c>
    </row>
    <row r="37" spans="1:41" x14ac:dyDescent="0.2">
      <c r="A37" s="67"/>
      <c r="B37" s="98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5"/>
      <c r="AM37" s="71"/>
      <c r="AN37" s="71"/>
      <c r="AO37" s="99"/>
    </row>
    <row r="38" spans="1:41" x14ac:dyDescent="0.2">
      <c r="A38" s="78" t="s">
        <v>125</v>
      </c>
      <c r="B38" s="98"/>
      <c r="C38" s="105">
        <f t="shared" ref="C38:AL38" si="19">SUM(C39:C52)</f>
        <v>2172.2857142857142</v>
      </c>
      <c r="D38" s="105">
        <f t="shared" si="19"/>
        <v>200</v>
      </c>
      <c r="E38" s="105">
        <f t="shared" si="19"/>
        <v>10200</v>
      </c>
      <c r="F38" s="105">
        <f t="shared" si="19"/>
        <v>200</v>
      </c>
      <c r="G38" s="105">
        <f t="shared" si="19"/>
        <v>200</v>
      </c>
      <c r="H38" s="105">
        <f t="shared" si="19"/>
        <v>8450</v>
      </c>
      <c r="I38" s="105">
        <f t="shared" si="19"/>
        <v>29866.936936936938</v>
      </c>
      <c r="J38" s="105">
        <f t="shared" si="19"/>
        <v>26080</v>
      </c>
      <c r="K38" s="105">
        <f t="shared" si="19"/>
        <v>16280.936936936938</v>
      </c>
      <c r="L38" s="105">
        <f t="shared" si="19"/>
        <v>30694</v>
      </c>
      <c r="M38" s="105">
        <f t="shared" si="19"/>
        <v>20706.936936936938</v>
      </c>
      <c r="N38" s="105">
        <f t="shared" si="19"/>
        <v>70198.57142857142</v>
      </c>
      <c r="O38" s="105">
        <f t="shared" si="19"/>
        <v>47556.936936936938</v>
      </c>
      <c r="P38" s="105">
        <f t="shared" si="19"/>
        <v>29320</v>
      </c>
      <c r="Q38" s="105">
        <f t="shared" si="19"/>
        <v>36256.936936936938</v>
      </c>
      <c r="R38" s="105">
        <f t="shared" si="19"/>
        <v>29870</v>
      </c>
      <c r="S38" s="105">
        <f t="shared" si="19"/>
        <v>31306.936936936938</v>
      </c>
      <c r="T38" s="105">
        <f t="shared" si="19"/>
        <v>83748.57142857142</v>
      </c>
      <c r="U38" s="105">
        <f t="shared" si="19"/>
        <v>39942.936936936938</v>
      </c>
      <c r="V38" s="105">
        <f t="shared" si="19"/>
        <v>26506</v>
      </c>
      <c r="W38" s="105">
        <f t="shared" si="19"/>
        <v>28442.936936936938</v>
      </c>
      <c r="X38" s="105">
        <f t="shared" si="19"/>
        <v>32856</v>
      </c>
      <c r="Y38" s="105">
        <f t="shared" si="19"/>
        <v>28492.936936936938</v>
      </c>
      <c r="Z38" s="105">
        <f t="shared" si="19"/>
        <v>140127.42857142858</v>
      </c>
      <c r="AA38" s="105">
        <f t="shared" si="19"/>
        <v>41942.936936936938</v>
      </c>
      <c r="AB38" s="105">
        <f t="shared" si="19"/>
        <v>26606</v>
      </c>
      <c r="AC38" s="105">
        <f t="shared" si="19"/>
        <v>28542.936936936938</v>
      </c>
      <c r="AD38" s="105">
        <f t="shared" si="19"/>
        <v>27156</v>
      </c>
      <c r="AE38" s="105">
        <f t="shared" si="19"/>
        <v>28592.936936936938</v>
      </c>
      <c r="AF38" s="105">
        <f t="shared" si="19"/>
        <v>83084.57142857142</v>
      </c>
      <c r="AG38" s="105">
        <f t="shared" si="19"/>
        <v>47992.936936936938</v>
      </c>
      <c r="AH38" s="105">
        <f t="shared" si="19"/>
        <v>26756</v>
      </c>
      <c r="AI38" s="105">
        <f t="shared" si="19"/>
        <v>28692.936936936938</v>
      </c>
      <c r="AJ38" s="105">
        <f t="shared" si="19"/>
        <v>32306</v>
      </c>
      <c r="AK38" s="105">
        <f t="shared" si="19"/>
        <v>28742.936936936938</v>
      </c>
      <c r="AL38" s="104">
        <f t="shared" si="19"/>
        <v>203948.85714285716</v>
      </c>
      <c r="AM38" s="103">
        <f ca="1">SUM(OFFSET($C38,0,0,1,12))</f>
        <v>215249.66795366793</v>
      </c>
      <c r="AN38" s="103">
        <f ca="1">SUM(OFFSET($C38,0,12,1,12))</f>
        <v>554427.62162162154</v>
      </c>
      <c r="AO38" s="102">
        <f ca="1">SUM(OFFSET($C38,0,24,1,12))</f>
        <v>604365.05019305018</v>
      </c>
    </row>
    <row r="39" spans="1:41" x14ac:dyDescent="0.2">
      <c r="A39" s="152" t="s">
        <v>126</v>
      </c>
      <c r="B39" s="109">
        <v>7980</v>
      </c>
      <c r="C39" s="64"/>
      <c r="D39" s="64"/>
      <c r="E39" s="64"/>
      <c r="F39" s="64"/>
      <c r="G39" s="64"/>
      <c r="H39" s="64"/>
      <c r="I39" s="64">
        <f t="shared" ref="I39:AL39" si="20">$B39</f>
        <v>7980</v>
      </c>
      <c r="J39" s="64">
        <f t="shared" si="20"/>
        <v>7980</v>
      </c>
      <c r="K39" s="64">
        <f t="shared" si="20"/>
        <v>7980</v>
      </c>
      <c r="L39" s="64">
        <f t="shared" si="20"/>
        <v>7980</v>
      </c>
      <c r="M39" s="64">
        <f t="shared" si="20"/>
        <v>7980</v>
      </c>
      <c r="N39" s="64">
        <f t="shared" si="20"/>
        <v>7980</v>
      </c>
      <c r="O39" s="64">
        <f t="shared" si="20"/>
        <v>7980</v>
      </c>
      <c r="P39" s="64">
        <f t="shared" si="20"/>
        <v>7980</v>
      </c>
      <c r="Q39" s="64">
        <f t="shared" si="20"/>
        <v>7980</v>
      </c>
      <c r="R39" s="64">
        <f t="shared" si="20"/>
        <v>7980</v>
      </c>
      <c r="S39" s="64">
        <f t="shared" si="20"/>
        <v>7980</v>
      </c>
      <c r="T39" s="64">
        <f t="shared" si="20"/>
        <v>7980</v>
      </c>
      <c r="U39" s="64">
        <f t="shared" si="20"/>
        <v>7980</v>
      </c>
      <c r="V39" s="64">
        <f t="shared" si="20"/>
        <v>7980</v>
      </c>
      <c r="W39" s="64">
        <f t="shared" si="20"/>
        <v>7980</v>
      </c>
      <c r="X39" s="64">
        <f t="shared" si="20"/>
        <v>7980</v>
      </c>
      <c r="Y39" s="64">
        <f t="shared" si="20"/>
        <v>7980</v>
      </c>
      <c r="Z39" s="64">
        <f t="shared" si="20"/>
        <v>7980</v>
      </c>
      <c r="AA39" s="64">
        <f t="shared" si="20"/>
        <v>7980</v>
      </c>
      <c r="AB39" s="64">
        <f t="shared" si="20"/>
        <v>7980</v>
      </c>
      <c r="AC39" s="64">
        <f t="shared" si="20"/>
        <v>7980</v>
      </c>
      <c r="AD39" s="64">
        <f t="shared" si="20"/>
        <v>7980</v>
      </c>
      <c r="AE39" s="64">
        <f t="shared" si="20"/>
        <v>7980</v>
      </c>
      <c r="AF39" s="64">
        <f t="shared" si="20"/>
        <v>7980</v>
      </c>
      <c r="AG39" s="64">
        <f t="shared" si="20"/>
        <v>7980</v>
      </c>
      <c r="AH39" s="64">
        <f t="shared" si="20"/>
        <v>7980</v>
      </c>
      <c r="AI39" s="64">
        <f t="shared" si="20"/>
        <v>7980</v>
      </c>
      <c r="AJ39" s="64">
        <f t="shared" si="20"/>
        <v>7980</v>
      </c>
      <c r="AK39" s="64">
        <f t="shared" si="20"/>
        <v>7980</v>
      </c>
      <c r="AL39" s="65">
        <f t="shared" si="20"/>
        <v>7980</v>
      </c>
      <c r="AM39" s="71">
        <f ca="1">SUM(OFFSET($C39,0,0,1,12))</f>
        <v>47880</v>
      </c>
      <c r="AN39" s="71">
        <f ca="1">SUM(OFFSET($C39,0,12,1,12))</f>
        <v>95760</v>
      </c>
      <c r="AO39" s="99">
        <f ca="1">SUM(OFFSET($C39,0,24,1,12))</f>
        <v>95760</v>
      </c>
    </row>
    <row r="40" spans="1:41" ht="13.35" customHeight="1" x14ac:dyDescent="0.2">
      <c r="A40" s="152" t="s">
        <v>127</v>
      </c>
      <c r="B40" s="109">
        <v>10500</v>
      </c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>
        <f t="shared" ref="O40:AL40" si="21">$B40</f>
        <v>10500</v>
      </c>
      <c r="P40" s="64">
        <f t="shared" si="21"/>
        <v>10500</v>
      </c>
      <c r="Q40" s="64">
        <f t="shared" si="21"/>
        <v>10500</v>
      </c>
      <c r="R40" s="64">
        <f t="shared" si="21"/>
        <v>10500</v>
      </c>
      <c r="S40" s="64">
        <f t="shared" si="21"/>
        <v>10500</v>
      </c>
      <c r="T40" s="64">
        <f t="shared" si="21"/>
        <v>10500</v>
      </c>
      <c r="U40" s="64">
        <f t="shared" si="21"/>
        <v>10500</v>
      </c>
      <c r="V40" s="64">
        <f t="shared" si="21"/>
        <v>10500</v>
      </c>
      <c r="W40" s="64">
        <f t="shared" si="21"/>
        <v>10500</v>
      </c>
      <c r="X40" s="64">
        <f t="shared" si="21"/>
        <v>10500</v>
      </c>
      <c r="Y40" s="64">
        <f t="shared" si="21"/>
        <v>10500</v>
      </c>
      <c r="Z40" s="64">
        <f t="shared" si="21"/>
        <v>10500</v>
      </c>
      <c r="AA40" s="64">
        <f t="shared" si="21"/>
        <v>10500</v>
      </c>
      <c r="AB40" s="64">
        <f t="shared" si="21"/>
        <v>10500</v>
      </c>
      <c r="AC40" s="64">
        <f t="shared" si="21"/>
        <v>10500</v>
      </c>
      <c r="AD40" s="64">
        <f t="shared" si="21"/>
        <v>10500</v>
      </c>
      <c r="AE40" s="64">
        <f t="shared" si="21"/>
        <v>10500</v>
      </c>
      <c r="AF40" s="64">
        <f t="shared" si="21"/>
        <v>10500</v>
      </c>
      <c r="AG40" s="64">
        <f t="shared" si="21"/>
        <v>10500</v>
      </c>
      <c r="AH40" s="64">
        <f t="shared" si="21"/>
        <v>10500</v>
      </c>
      <c r="AI40" s="64">
        <f t="shared" si="21"/>
        <v>10500</v>
      </c>
      <c r="AJ40" s="64">
        <f t="shared" si="21"/>
        <v>10500</v>
      </c>
      <c r="AK40" s="64">
        <f t="shared" si="21"/>
        <v>10500</v>
      </c>
      <c r="AL40" s="65">
        <f t="shared" si="21"/>
        <v>10500</v>
      </c>
      <c r="AM40" s="71">
        <f ca="1">SUM(OFFSET($C40,0,0,1,12))</f>
        <v>0</v>
      </c>
      <c r="AN40" s="71">
        <f ca="1">SUM(OFFSET($C40,0,12,1,12))</f>
        <v>126000</v>
      </c>
      <c r="AO40" s="99">
        <f ca="1">SUM(OFFSET($C40,0,24,1,12))</f>
        <v>126000</v>
      </c>
    </row>
    <row r="41" spans="1:41" ht="13.35" customHeight="1" x14ac:dyDescent="0.2">
      <c r="A41" s="152" t="s">
        <v>128</v>
      </c>
      <c r="B41" s="109">
        <v>1457</v>
      </c>
      <c r="C41" s="64"/>
      <c r="D41" s="64"/>
      <c r="E41" s="64"/>
      <c r="F41" s="64"/>
      <c r="G41" s="64"/>
      <c r="H41" s="64"/>
      <c r="I41" s="64"/>
      <c r="J41" s="64"/>
      <c r="K41" s="64">
        <f t="shared" ref="K41:T41" si="22">$B$41</f>
        <v>1457</v>
      </c>
      <c r="L41" s="64">
        <f t="shared" si="22"/>
        <v>1457</v>
      </c>
      <c r="M41" s="64">
        <f t="shared" si="22"/>
        <v>1457</v>
      </c>
      <c r="N41" s="64">
        <f t="shared" si="22"/>
        <v>1457</v>
      </c>
      <c r="O41" s="64">
        <f t="shared" si="22"/>
        <v>1457</v>
      </c>
      <c r="P41" s="64">
        <f t="shared" si="22"/>
        <v>1457</v>
      </c>
      <c r="Q41" s="64">
        <f t="shared" si="22"/>
        <v>1457</v>
      </c>
      <c r="R41" s="64">
        <f t="shared" si="22"/>
        <v>1457</v>
      </c>
      <c r="S41" s="64">
        <f t="shared" si="22"/>
        <v>1457</v>
      </c>
      <c r="T41" s="64">
        <f t="shared" si="22"/>
        <v>1457</v>
      </c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5"/>
      <c r="AM41" s="71"/>
      <c r="AN41" s="71"/>
      <c r="AO41" s="99"/>
    </row>
    <row r="42" spans="1:41" ht="13.35" customHeight="1" x14ac:dyDescent="0.2">
      <c r="A42" s="152" t="s">
        <v>129</v>
      </c>
      <c r="B42" s="109">
        <v>1457</v>
      </c>
      <c r="C42" s="64"/>
      <c r="D42" s="64"/>
      <c r="E42" s="64"/>
      <c r="F42" s="64"/>
      <c r="G42" s="64"/>
      <c r="H42" s="64"/>
      <c r="I42" s="64"/>
      <c r="J42" s="64"/>
      <c r="K42" s="64">
        <f t="shared" ref="K42:T42" si="23">$B$42</f>
        <v>1457</v>
      </c>
      <c r="L42" s="64">
        <f t="shared" si="23"/>
        <v>1457</v>
      </c>
      <c r="M42" s="64">
        <f t="shared" si="23"/>
        <v>1457</v>
      </c>
      <c r="N42" s="64">
        <f t="shared" si="23"/>
        <v>1457</v>
      </c>
      <c r="O42" s="64">
        <f t="shared" si="23"/>
        <v>1457</v>
      </c>
      <c r="P42" s="64">
        <f t="shared" si="23"/>
        <v>1457</v>
      </c>
      <c r="Q42" s="64">
        <f t="shared" si="23"/>
        <v>1457</v>
      </c>
      <c r="R42" s="64">
        <f t="shared" si="23"/>
        <v>1457</v>
      </c>
      <c r="S42" s="64">
        <f t="shared" si="23"/>
        <v>1457</v>
      </c>
      <c r="T42" s="64">
        <f t="shared" si="23"/>
        <v>1457</v>
      </c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5"/>
      <c r="AM42" s="71"/>
      <c r="AN42" s="71"/>
      <c r="AO42" s="99"/>
    </row>
    <row r="43" spans="1:41" x14ac:dyDescent="0.2">
      <c r="A43" s="147" t="s">
        <v>130</v>
      </c>
      <c r="B43" s="109">
        <f>7276</f>
        <v>7276</v>
      </c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>
        <f t="shared" ref="M43:AL43" si="24">$B43</f>
        <v>7276</v>
      </c>
      <c r="N43" s="163">
        <f t="shared" si="24"/>
        <v>7276</v>
      </c>
      <c r="O43" s="163">
        <f t="shared" si="24"/>
        <v>7276</v>
      </c>
      <c r="P43" s="163">
        <f t="shared" si="24"/>
        <v>7276</v>
      </c>
      <c r="Q43" s="163">
        <f t="shared" si="24"/>
        <v>7276</v>
      </c>
      <c r="R43" s="163">
        <f t="shared" si="24"/>
        <v>7276</v>
      </c>
      <c r="S43" s="163">
        <f t="shared" si="24"/>
        <v>7276</v>
      </c>
      <c r="T43" s="163">
        <f t="shared" si="24"/>
        <v>7276</v>
      </c>
      <c r="U43" s="163">
        <f t="shared" si="24"/>
        <v>7276</v>
      </c>
      <c r="V43" s="163">
        <f t="shared" si="24"/>
        <v>7276</v>
      </c>
      <c r="W43" s="163">
        <f t="shared" si="24"/>
        <v>7276</v>
      </c>
      <c r="X43" s="163">
        <f t="shared" si="24"/>
        <v>7276</v>
      </c>
      <c r="Y43" s="163">
        <f t="shared" si="24"/>
        <v>7276</v>
      </c>
      <c r="Z43" s="163">
        <f t="shared" si="24"/>
        <v>7276</v>
      </c>
      <c r="AA43" s="163">
        <f t="shared" si="24"/>
        <v>7276</v>
      </c>
      <c r="AB43" s="163">
        <f t="shared" si="24"/>
        <v>7276</v>
      </c>
      <c r="AC43" s="163">
        <f t="shared" si="24"/>
        <v>7276</v>
      </c>
      <c r="AD43" s="163">
        <f t="shared" si="24"/>
        <v>7276</v>
      </c>
      <c r="AE43" s="163">
        <f t="shared" si="24"/>
        <v>7276</v>
      </c>
      <c r="AF43" s="163">
        <f t="shared" si="24"/>
        <v>7276</v>
      </c>
      <c r="AG43" s="163">
        <f t="shared" si="24"/>
        <v>7276</v>
      </c>
      <c r="AH43" s="163">
        <f t="shared" si="24"/>
        <v>7276</v>
      </c>
      <c r="AI43" s="163">
        <f t="shared" si="24"/>
        <v>7276</v>
      </c>
      <c r="AJ43" s="163">
        <f t="shared" si="24"/>
        <v>7276</v>
      </c>
      <c r="AK43" s="163">
        <f t="shared" si="24"/>
        <v>7276</v>
      </c>
      <c r="AL43" s="164">
        <f t="shared" si="24"/>
        <v>7276</v>
      </c>
      <c r="AM43" s="71">
        <f ca="1">SUM(OFFSET($C43,0,0,1,12))</f>
        <v>14552</v>
      </c>
      <c r="AN43" s="71">
        <f ca="1">SUM(OFFSET($C43,0,12,1,12))</f>
        <v>87312</v>
      </c>
      <c r="AO43" s="99">
        <f ca="1">SUM(OFFSET($C43,0,24,1,12))</f>
        <v>87312</v>
      </c>
    </row>
    <row r="44" spans="1:41" x14ac:dyDescent="0.2">
      <c r="A44" s="153" t="s">
        <v>131</v>
      </c>
      <c r="B44" s="98"/>
      <c r="C44" s="163"/>
      <c r="D44" s="163"/>
      <c r="E44" s="163"/>
      <c r="F44" s="163"/>
      <c r="G44" s="163"/>
      <c r="H44" s="163"/>
      <c r="I44" s="165"/>
      <c r="J44" s="163">
        <v>14650</v>
      </c>
      <c r="K44" s="163"/>
      <c r="L44" s="163"/>
      <c r="M44" s="163"/>
      <c r="N44" s="163">
        <f>(10000+350000)/7</f>
        <v>51428.571428571428</v>
      </c>
      <c r="O44" s="163"/>
      <c r="P44" s="163"/>
      <c r="Q44" s="163"/>
      <c r="R44" s="163"/>
      <c r="S44" s="163"/>
      <c r="T44" s="163">
        <f>(10000+350000)/7</f>
        <v>51428.571428571428</v>
      </c>
      <c r="U44" s="163"/>
      <c r="V44" s="163"/>
      <c r="W44" s="163"/>
      <c r="X44" s="163"/>
      <c r="Y44" s="163"/>
      <c r="Z44" s="163">
        <f>(25000+350000)/7</f>
        <v>53571.428571428572</v>
      </c>
      <c r="AA44" s="163"/>
      <c r="AB44" s="163"/>
      <c r="AC44" s="163"/>
      <c r="AD44" s="163"/>
      <c r="AE44" s="163"/>
      <c r="AF44" s="163">
        <f>(10000+350000)/7</f>
        <v>51428.571428571428</v>
      </c>
      <c r="AG44" s="163"/>
      <c r="AH44" s="163"/>
      <c r="AI44" s="163"/>
      <c r="AJ44" s="163"/>
      <c r="AK44" s="163"/>
      <c r="AL44" s="164">
        <f>(25000+350000)/7*2</f>
        <v>107142.85714285714</v>
      </c>
      <c r="AM44" s="71">
        <f t="shared" ref="AM44:AM52" ca="1" si="25">SUM(OFFSET($C44,0,0,1,12))</f>
        <v>66078.57142857142</v>
      </c>
      <c r="AN44" s="71">
        <f t="shared" ref="AN44:AN52" ca="1" si="26">SUM(OFFSET($C44,0,12,1,12))</f>
        <v>105000</v>
      </c>
      <c r="AO44" s="99">
        <f t="shared" ref="AO44:AO52" ca="1" si="27">SUM(OFFSET($C44,0,24,1,12))</f>
        <v>158571.42857142858</v>
      </c>
    </row>
    <row r="45" spans="1:41" x14ac:dyDescent="0.2">
      <c r="A45" s="55" t="s">
        <v>132</v>
      </c>
      <c r="B45" s="98"/>
      <c r="C45" s="163"/>
      <c r="D45" s="163"/>
      <c r="E45" s="163"/>
      <c r="F45" s="163"/>
      <c r="G45" s="163"/>
      <c r="H45" s="163">
        <v>3000</v>
      </c>
      <c r="I45" s="163"/>
      <c r="J45" s="163"/>
      <c r="K45" s="163"/>
      <c r="L45" s="163"/>
      <c r="M45" s="163"/>
      <c r="N45" s="163"/>
      <c r="O45" s="163"/>
      <c r="P45" s="163"/>
      <c r="Q45" s="163">
        <v>5000</v>
      </c>
      <c r="R45" s="163"/>
      <c r="S45" s="163"/>
      <c r="T45" s="163"/>
      <c r="U45" s="163"/>
      <c r="V45" s="163"/>
      <c r="W45" s="163"/>
      <c r="X45" s="163"/>
      <c r="Y45" s="163"/>
      <c r="Z45" s="163">
        <v>10000</v>
      </c>
      <c r="AA45" s="163"/>
      <c r="AB45" s="163"/>
      <c r="AC45" s="163"/>
      <c r="AD45" s="163"/>
      <c r="AE45" s="163"/>
      <c r="AF45" s="163">
        <v>5000</v>
      </c>
      <c r="AG45" s="163"/>
      <c r="AH45" s="163"/>
      <c r="AI45" s="163"/>
      <c r="AJ45" s="163">
        <v>5000</v>
      </c>
      <c r="AK45" s="163"/>
      <c r="AL45" s="164"/>
      <c r="AM45" s="71">
        <f t="shared" ca="1" si="25"/>
        <v>3000</v>
      </c>
      <c r="AN45" s="71">
        <f t="shared" ca="1" si="26"/>
        <v>15000</v>
      </c>
      <c r="AO45" s="99">
        <f t="shared" ca="1" si="27"/>
        <v>10000</v>
      </c>
    </row>
    <row r="46" spans="1:41" x14ac:dyDescent="0.2">
      <c r="A46" s="67" t="s">
        <v>133</v>
      </c>
      <c r="B46" s="98"/>
      <c r="C46" s="163"/>
      <c r="D46" s="163"/>
      <c r="E46" s="163"/>
      <c r="F46" s="163"/>
      <c r="G46" s="163"/>
      <c r="H46" s="163">
        <v>5000</v>
      </c>
      <c r="I46" s="163"/>
      <c r="J46" s="163"/>
      <c r="K46" s="163"/>
      <c r="L46" s="163">
        <v>10000</v>
      </c>
      <c r="M46" s="163"/>
      <c r="N46" s="163"/>
      <c r="O46" s="163">
        <v>10000</v>
      </c>
      <c r="P46" s="163"/>
      <c r="Q46" s="163"/>
      <c r="R46" s="163"/>
      <c r="S46" s="163"/>
      <c r="T46" s="163"/>
      <c r="U46" s="163">
        <v>10000</v>
      </c>
      <c r="V46" s="163"/>
      <c r="W46" s="163"/>
      <c r="X46" s="163"/>
      <c r="Y46" s="163"/>
      <c r="Z46" s="163"/>
      <c r="AA46" s="163">
        <v>10000</v>
      </c>
      <c r="AB46" s="163"/>
      <c r="AC46" s="163"/>
      <c r="AD46" s="163"/>
      <c r="AE46" s="163"/>
      <c r="AF46" s="163"/>
      <c r="AG46" s="163">
        <v>10000</v>
      </c>
      <c r="AH46" s="163"/>
      <c r="AI46" s="163"/>
      <c r="AJ46" s="163"/>
      <c r="AK46" s="163"/>
      <c r="AL46" s="164">
        <v>20000</v>
      </c>
      <c r="AM46" s="71">
        <f t="shared" ca="1" si="25"/>
        <v>15000</v>
      </c>
      <c r="AN46" s="71">
        <f t="shared" ca="1" si="26"/>
        <v>20000</v>
      </c>
      <c r="AO46" s="99">
        <f t="shared" ca="1" si="27"/>
        <v>40000</v>
      </c>
    </row>
    <row r="47" spans="1:41" x14ac:dyDescent="0.2">
      <c r="A47" s="67" t="s">
        <v>134</v>
      </c>
      <c r="B47" s="98"/>
      <c r="C47" s="163"/>
      <c r="D47" s="163"/>
      <c r="E47" s="163">
        <v>10000</v>
      </c>
      <c r="F47" s="163"/>
      <c r="G47" s="163"/>
      <c r="H47" s="163"/>
      <c r="I47" s="163">
        <f>86000/12*(10/37)</f>
        <v>1936.9369369369372</v>
      </c>
      <c r="J47" s="163"/>
      <c r="K47" s="163">
        <f>86000/12*(10/37)</f>
        <v>1936.9369369369372</v>
      </c>
      <c r="L47" s="163"/>
      <c r="M47" s="163">
        <f>86000/12*(10/37)</f>
        <v>1936.9369369369372</v>
      </c>
      <c r="N47" s="163"/>
      <c r="O47" s="163">
        <f>86000/12*(10/37)</f>
        <v>1936.9369369369372</v>
      </c>
      <c r="P47" s="163"/>
      <c r="Q47" s="163">
        <f>86000/12*(10/37)</f>
        <v>1936.9369369369372</v>
      </c>
      <c r="R47" s="163"/>
      <c r="S47" s="163">
        <f>86000/12*(10/37)</f>
        <v>1936.9369369369372</v>
      </c>
      <c r="T47" s="163"/>
      <c r="U47" s="163">
        <f>86000/12*(10/37)</f>
        <v>1936.9369369369372</v>
      </c>
      <c r="V47" s="163"/>
      <c r="W47" s="163">
        <f>86000/12*(10/37)</f>
        <v>1936.9369369369372</v>
      </c>
      <c r="X47" s="163"/>
      <c r="Y47" s="163">
        <f>86000/12*(10/37)</f>
        <v>1936.9369369369372</v>
      </c>
      <c r="Z47" s="163"/>
      <c r="AA47" s="163">
        <f>86000/12*(10/37)</f>
        <v>1936.9369369369372</v>
      </c>
      <c r="AB47" s="163"/>
      <c r="AC47" s="163">
        <f>86000/12*(10/37)</f>
        <v>1936.9369369369372</v>
      </c>
      <c r="AD47" s="163"/>
      <c r="AE47" s="163">
        <f>86000/12*(10/37)</f>
        <v>1936.9369369369372</v>
      </c>
      <c r="AF47" s="163"/>
      <c r="AG47" s="163">
        <f>86000/12*(10/37)</f>
        <v>1936.9369369369372</v>
      </c>
      <c r="AH47" s="163"/>
      <c r="AI47" s="163">
        <f>86000/12*(10/37)</f>
        <v>1936.9369369369372</v>
      </c>
      <c r="AJ47" s="163"/>
      <c r="AK47" s="163">
        <f>86000/12*(10/37)</f>
        <v>1936.9369369369372</v>
      </c>
      <c r="AL47" s="164"/>
      <c r="AM47" s="71">
        <f t="shared" ca="1" si="25"/>
        <v>15810.810810810814</v>
      </c>
      <c r="AN47" s="71">
        <f t="shared" ca="1" si="26"/>
        <v>11621.621621621623</v>
      </c>
      <c r="AO47" s="99">
        <f t="shared" ca="1" si="27"/>
        <v>11621.621621621623</v>
      </c>
    </row>
    <row r="48" spans="1:41" x14ac:dyDescent="0.2">
      <c r="A48" s="67" t="s">
        <v>135</v>
      </c>
      <c r="B48" s="98"/>
      <c r="C48" s="163">
        <f>(153/7)*2+(100/7)*2+4*500</f>
        <v>2072.2857142857142</v>
      </c>
      <c r="D48" s="163">
        <v>100</v>
      </c>
      <c r="E48" s="163">
        <v>100</v>
      </c>
      <c r="F48" s="163">
        <v>100</v>
      </c>
      <c r="G48" s="163">
        <v>100</v>
      </c>
      <c r="H48" s="163">
        <v>100</v>
      </c>
      <c r="I48" s="163">
        <f>200+500</f>
        <v>700</v>
      </c>
      <c r="J48" s="163">
        <v>200</v>
      </c>
      <c r="K48" s="163">
        <v>200</v>
      </c>
      <c r="L48" s="163">
        <f>250+500</f>
        <v>750</v>
      </c>
      <c r="M48" s="163">
        <v>250</v>
      </c>
      <c r="N48" s="163">
        <v>250</v>
      </c>
      <c r="O48" s="163">
        <f>250+500</f>
        <v>750</v>
      </c>
      <c r="P48" s="163">
        <v>250</v>
      </c>
      <c r="Q48" s="163">
        <v>250</v>
      </c>
      <c r="R48" s="163">
        <f>300+500</f>
        <v>800</v>
      </c>
      <c r="S48" s="163">
        <v>300</v>
      </c>
      <c r="T48" s="163">
        <v>300</v>
      </c>
      <c r="U48" s="163">
        <v>300</v>
      </c>
      <c r="V48" s="163">
        <v>300</v>
      </c>
      <c r="W48" s="163">
        <v>300</v>
      </c>
      <c r="X48" s="163">
        <f>350+500</f>
        <v>850</v>
      </c>
      <c r="Y48" s="163">
        <v>350</v>
      </c>
      <c r="Z48" s="163">
        <v>350</v>
      </c>
      <c r="AA48" s="163">
        <f>350+500</f>
        <v>850</v>
      </c>
      <c r="AB48" s="163">
        <v>350</v>
      </c>
      <c r="AC48" s="163">
        <v>350</v>
      </c>
      <c r="AD48" s="163">
        <f>400+500</f>
        <v>900</v>
      </c>
      <c r="AE48" s="163">
        <v>400</v>
      </c>
      <c r="AF48" s="163">
        <v>400</v>
      </c>
      <c r="AG48" s="163">
        <f>400+500</f>
        <v>900</v>
      </c>
      <c r="AH48" s="163">
        <v>400</v>
      </c>
      <c r="AI48" s="163">
        <v>400</v>
      </c>
      <c r="AJ48" s="163">
        <f>450+500</f>
        <v>950</v>
      </c>
      <c r="AK48" s="163">
        <v>450</v>
      </c>
      <c r="AL48" s="164">
        <v>450</v>
      </c>
      <c r="AM48" s="71">
        <f t="shared" ca="1" si="25"/>
        <v>4922.2857142857138</v>
      </c>
      <c r="AN48" s="71">
        <f t="shared" ca="1" si="26"/>
        <v>5100</v>
      </c>
      <c r="AO48" s="99">
        <f t="shared" ca="1" si="27"/>
        <v>6800</v>
      </c>
    </row>
    <row r="49" spans="1:78" x14ac:dyDescent="0.2">
      <c r="A49" s="67" t="s">
        <v>136</v>
      </c>
      <c r="B49" s="98"/>
      <c r="C49" s="163">
        <v>100</v>
      </c>
      <c r="D49" s="163">
        <v>100</v>
      </c>
      <c r="E49" s="163">
        <v>100</v>
      </c>
      <c r="F49" s="163">
        <v>100</v>
      </c>
      <c r="G49" s="163">
        <v>100</v>
      </c>
      <c r="H49" s="163">
        <v>100</v>
      </c>
      <c r="I49" s="163">
        <v>1600</v>
      </c>
      <c r="J49" s="163">
        <v>100</v>
      </c>
      <c r="K49" s="163">
        <v>100</v>
      </c>
      <c r="L49" s="163">
        <v>100</v>
      </c>
      <c r="M49" s="163">
        <v>100</v>
      </c>
      <c r="N49" s="163">
        <v>100</v>
      </c>
      <c r="O49" s="163">
        <v>100</v>
      </c>
      <c r="P49" s="163">
        <v>100</v>
      </c>
      <c r="Q49" s="163">
        <v>100</v>
      </c>
      <c r="R49" s="163">
        <v>100</v>
      </c>
      <c r="S49" s="163">
        <v>100</v>
      </c>
      <c r="T49" s="163">
        <v>100</v>
      </c>
      <c r="U49" s="163">
        <v>1600</v>
      </c>
      <c r="V49" s="163">
        <v>100</v>
      </c>
      <c r="W49" s="163">
        <v>100</v>
      </c>
      <c r="X49" s="163">
        <v>100</v>
      </c>
      <c r="Y49" s="163">
        <v>100</v>
      </c>
      <c r="Z49" s="163">
        <v>100</v>
      </c>
      <c r="AA49" s="163">
        <v>100</v>
      </c>
      <c r="AB49" s="163">
        <v>100</v>
      </c>
      <c r="AC49" s="163">
        <v>100</v>
      </c>
      <c r="AD49" s="163">
        <v>100</v>
      </c>
      <c r="AE49" s="163">
        <v>100</v>
      </c>
      <c r="AF49" s="163">
        <v>100</v>
      </c>
      <c r="AG49" s="163">
        <v>3100</v>
      </c>
      <c r="AH49" s="163">
        <v>100</v>
      </c>
      <c r="AI49" s="163">
        <v>100</v>
      </c>
      <c r="AJ49" s="163">
        <v>100</v>
      </c>
      <c r="AK49" s="163">
        <v>100</v>
      </c>
      <c r="AL49" s="164">
        <v>100</v>
      </c>
      <c r="AM49" s="71">
        <f t="shared" ca="1" si="25"/>
        <v>2700</v>
      </c>
      <c r="AN49" s="71">
        <f t="shared" ca="1" si="26"/>
        <v>2700</v>
      </c>
      <c r="AO49" s="99">
        <f t="shared" ca="1" si="27"/>
        <v>4200</v>
      </c>
    </row>
    <row r="50" spans="1:78" x14ac:dyDescent="0.2">
      <c r="A50" s="67" t="s">
        <v>137</v>
      </c>
      <c r="B50" s="98">
        <f>2900</f>
        <v>2900</v>
      </c>
      <c r="C50" s="163"/>
      <c r="D50" s="163"/>
      <c r="E50" s="163"/>
      <c r="F50" s="163"/>
      <c r="G50" s="163"/>
      <c r="H50" s="163"/>
      <c r="I50" s="163">
        <f>B50*6</f>
        <v>17400</v>
      </c>
      <c r="J50" s="163">
        <f>B50</f>
        <v>2900</v>
      </c>
      <c r="K50" s="163">
        <f>B50</f>
        <v>2900</v>
      </c>
      <c r="L50" s="163">
        <f>B50*3</f>
        <v>8700</v>
      </c>
      <c r="M50" s="163"/>
      <c r="N50" s="163"/>
      <c r="O50" s="163">
        <f>B50*2</f>
        <v>5800</v>
      </c>
      <c r="P50" s="163"/>
      <c r="Q50" s="163"/>
      <c r="R50" s="163"/>
      <c r="S50" s="163"/>
      <c r="T50" s="163">
        <f>B50*1</f>
        <v>2900</v>
      </c>
      <c r="U50" s="163"/>
      <c r="V50" s="163"/>
      <c r="W50" s="163"/>
      <c r="X50" s="163">
        <f>B50*2</f>
        <v>5800</v>
      </c>
      <c r="Y50" s="163"/>
      <c r="Z50" s="163"/>
      <c r="AA50" s="163">
        <f>B50</f>
        <v>2900</v>
      </c>
      <c r="AB50" s="163"/>
      <c r="AC50" s="163"/>
      <c r="AD50" s="163"/>
      <c r="AE50" s="163"/>
      <c r="AF50" s="163"/>
      <c r="AG50" s="163">
        <f>B50*2</f>
        <v>5800</v>
      </c>
      <c r="AH50" s="163"/>
      <c r="AI50" s="163"/>
      <c r="AJ50" s="163"/>
      <c r="AK50" s="163"/>
      <c r="AL50" s="164"/>
      <c r="AM50" s="71">
        <f t="shared" ca="1" si="25"/>
        <v>31900</v>
      </c>
      <c r="AN50" s="71">
        <f t="shared" ca="1" si="26"/>
        <v>14500</v>
      </c>
      <c r="AO50" s="99">
        <f t="shared" ca="1" si="27"/>
        <v>8700</v>
      </c>
    </row>
    <row r="51" spans="1:78" x14ac:dyDescent="0.2">
      <c r="A51" s="67" t="s">
        <v>138</v>
      </c>
      <c r="B51" s="98"/>
      <c r="C51" s="163"/>
      <c r="D51" s="163"/>
      <c r="E51" s="163"/>
      <c r="F51" s="163"/>
      <c r="G51" s="163"/>
      <c r="H51" s="163">
        <v>250</v>
      </c>
      <c r="I51" s="163">
        <v>250</v>
      </c>
      <c r="J51" s="163">
        <v>250</v>
      </c>
      <c r="K51" s="163">
        <v>250</v>
      </c>
      <c r="L51" s="163">
        <v>250</v>
      </c>
      <c r="M51" s="163">
        <v>250</v>
      </c>
      <c r="N51" s="163">
        <v>250</v>
      </c>
      <c r="O51" s="163">
        <v>300</v>
      </c>
      <c r="P51" s="163">
        <v>300</v>
      </c>
      <c r="Q51" s="163">
        <v>300</v>
      </c>
      <c r="R51" s="163">
        <v>300</v>
      </c>
      <c r="S51" s="163">
        <v>300</v>
      </c>
      <c r="T51" s="163">
        <v>350</v>
      </c>
      <c r="U51" s="163">
        <v>350</v>
      </c>
      <c r="V51" s="163">
        <v>350</v>
      </c>
      <c r="W51" s="163">
        <v>350</v>
      </c>
      <c r="X51" s="163">
        <v>350</v>
      </c>
      <c r="Y51" s="163">
        <v>350</v>
      </c>
      <c r="Z51" s="163">
        <v>350</v>
      </c>
      <c r="AA51" s="163">
        <v>400</v>
      </c>
      <c r="AB51" s="163">
        <v>400</v>
      </c>
      <c r="AC51" s="163">
        <v>400</v>
      </c>
      <c r="AD51" s="163">
        <v>400</v>
      </c>
      <c r="AE51" s="163">
        <v>400</v>
      </c>
      <c r="AF51" s="163">
        <v>400</v>
      </c>
      <c r="AG51" s="163">
        <v>500</v>
      </c>
      <c r="AH51" s="163">
        <v>500</v>
      </c>
      <c r="AI51" s="163">
        <v>500</v>
      </c>
      <c r="AJ51" s="163">
        <v>500</v>
      </c>
      <c r="AK51" s="163">
        <v>500</v>
      </c>
      <c r="AL51" s="164">
        <v>500</v>
      </c>
      <c r="AM51" s="71">
        <f t="shared" ca="1" si="25"/>
        <v>1750</v>
      </c>
      <c r="AN51" s="71">
        <f t="shared" ca="1" si="26"/>
        <v>3950</v>
      </c>
      <c r="AO51" s="99">
        <f t="shared" ca="1" si="27"/>
        <v>5400</v>
      </c>
    </row>
    <row r="52" spans="1:78" x14ac:dyDescent="0.2">
      <c r="A52" s="146" t="s">
        <v>139</v>
      </c>
      <c r="B52" s="108"/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>
        <v>50000</v>
      </c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7">
        <v>50000</v>
      </c>
      <c r="AM52" s="107">
        <f t="shared" ca="1" si="25"/>
        <v>0</v>
      </c>
      <c r="AN52" s="107">
        <f t="shared" ca="1" si="26"/>
        <v>50000</v>
      </c>
      <c r="AO52" s="106">
        <f t="shared" ca="1" si="27"/>
        <v>50000</v>
      </c>
    </row>
    <row r="53" spans="1:78" x14ac:dyDescent="0.2">
      <c r="A53" s="67"/>
      <c r="B53" s="98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5"/>
      <c r="AM53" s="71"/>
      <c r="AN53" s="71"/>
      <c r="AO53" s="99"/>
    </row>
    <row r="54" spans="1:78" x14ac:dyDescent="0.2">
      <c r="A54" s="78" t="s">
        <v>140</v>
      </c>
      <c r="B54" s="98"/>
      <c r="C54" s="105"/>
      <c r="D54" s="105">
        <f t="shared" ref="D54:AL54" si="28">SUM(D55:D57)</f>
        <v>500</v>
      </c>
      <c r="E54" s="105">
        <f t="shared" si="28"/>
        <v>2300</v>
      </c>
      <c r="F54" s="105">
        <f t="shared" si="28"/>
        <v>1800</v>
      </c>
      <c r="G54" s="105">
        <f t="shared" si="28"/>
        <v>1800</v>
      </c>
      <c r="H54" s="105">
        <f t="shared" si="28"/>
        <v>1800</v>
      </c>
      <c r="I54" s="105">
        <f t="shared" si="28"/>
        <v>1800</v>
      </c>
      <c r="J54" s="105">
        <f t="shared" si="28"/>
        <v>4800</v>
      </c>
      <c r="K54" s="105">
        <f t="shared" si="28"/>
        <v>4800</v>
      </c>
      <c r="L54" s="105">
        <f t="shared" si="28"/>
        <v>4800</v>
      </c>
      <c r="M54" s="105">
        <f t="shared" si="28"/>
        <v>4800</v>
      </c>
      <c r="N54" s="105">
        <f t="shared" si="28"/>
        <v>16228.571428571429</v>
      </c>
      <c r="O54" s="105">
        <f t="shared" si="28"/>
        <v>6800</v>
      </c>
      <c r="P54" s="105">
        <f t="shared" si="28"/>
        <v>4800</v>
      </c>
      <c r="Q54" s="105">
        <f t="shared" si="28"/>
        <v>4800</v>
      </c>
      <c r="R54" s="105">
        <f t="shared" si="28"/>
        <v>4800</v>
      </c>
      <c r="S54" s="105">
        <f t="shared" si="28"/>
        <v>4800</v>
      </c>
      <c r="T54" s="105">
        <f t="shared" si="28"/>
        <v>8600</v>
      </c>
      <c r="U54" s="105">
        <f t="shared" si="28"/>
        <v>6600</v>
      </c>
      <c r="V54" s="105">
        <f t="shared" si="28"/>
        <v>6600</v>
      </c>
      <c r="W54" s="105">
        <f t="shared" si="28"/>
        <v>6600</v>
      </c>
      <c r="X54" s="105">
        <f t="shared" si="28"/>
        <v>6600</v>
      </c>
      <c r="Y54" s="105">
        <f t="shared" si="28"/>
        <v>6600</v>
      </c>
      <c r="Z54" s="105">
        <f t="shared" si="28"/>
        <v>29457.142857142859</v>
      </c>
      <c r="AA54" s="105">
        <f t="shared" si="28"/>
        <v>13600</v>
      </c>
      <c r="AB54" s="105">
        <f t="shared" si="28"/>
        <v>6600</v>
      </c>
      <c r="AC54" s="105">
        <f t="shared" si="28"/>
        <v>6600</v>
      </c>
      <c r="AD54" s="105">
        <f t="shared" si="28"/>
        <v>6600</v>
      </c>
      <c r="AE54" s="105">
        <f t="shared" si="28"/>
        <v>6600</v>
      </c>
      <c r="AF54" s="105">
        <f t="shared" si="28"/>
        <v>8600</v>
      </c>
      <c r="AG54" s="105">
        <f t="shared" si="28"/>
        <v>8600</v>
      </c>
      <c r="AH54" s="105">
        <f t="shared" si="28"/>
        <v>8600</v>
      </c>
      <c r="AI54" s="105">
        <f t="shared" si="28"/>
        <v>8600</v>
      </c>
      <c r="AJ54" s="105">
        <f t="shared" si="28"/>
        <v>8600</v>
      </c>
      <c r="AK54" s="105">
        <f t="shared" si="28"/>
        <v>8600</v>
      </c>
      <c r="AL54" s="104">
        <f t="shared" si="28"/>
        <v>31457.142857142859</v>
      </c>
      <c r="AM54" s="103">
        <f ca="1">SUM(OFFSET($C54,0,0,1,12))</f>
        <v>45428.571428571428</v>
      </c>
      <c r="AN54" s="103">
        <f ca="1">SUM(OFFSET($C54,0,12,1,12))</f>
        <v>97057.142857142855</v>
      </c>
      <c r="AO54" s="102">
        <f ca="1">SUM(OFFSET($C54,0,24,1,12))</f>
        <v>123057.14285714286</v>
      </c>
    </row>
    <row r="55" spans="1:78" x14ac:dyDescent="0.2">
      <c r="A55" s="67" t="s">
        <v>141</v>
      </c>
      <c r="B55" s="98"/>
      <c r="C55" s="101"/>
      <c r="D55" s="163">
        <v>500</v>
      </c>
      <c r="E55" s="163">
        <v>500</v>
      </c>
      <c r="F55" s="163"/>
      <c r="G55" s="163"/>
      <c r="H55" s="163"/>
      <c r="I55" s="163"/>
      <c r="J55" s="163">
        <v>3000</v>
      </c>
      <c r="K55" s="163">
        <v>3000</v>
      </c>
      <c r="L55" s="163">
        <v>3000</v>
      </c>
      <c r="M55" s="163">
        <v>3000</v>
      </c>
      <c r="N55" s="163">
        <v>3000</v>
      </c>
      <c r="O55" s="163">
        <v>5000</v>
      </c>
      <c r="P55" s="163">
        <v>3000</v>
      </c>
      <c r="Q55" s="163">
        <v>3000</v>
      </c>
      <c r="R55" s="163">
        <v>3000</v>
      </c>
      <c r="S55" s="163">
        <v>3000</v>
      </c>
      <c r="T55" s="163">
        <v>5000</v>
      </c>
      <c r="U55" s="163">
        <v>3000</v>
      </c>
      <c r="V55" s="163">
        <v>3000</v>
      </c>
      <c r="W55" s="163">
        <v>3000</v>
      </c>
      <c r="X55" s="163">
        <v>3000</v>
      </c>
      <c r="Y55" s="163">
        <v>3000</v>
      </c>
      <c r="Z55" s="163">
        <v>3000</v>
      </c>
      <c r="AA55" s="163">
        <v>10000</v>
      </c>
      <c r="AB55" s="163">
        <v>3000</v>
      </c>
      <c r="AC55" s="163">
        <v>3000</v>
      </c>
      <c r="AD55" s="163">
        <v>3000</v>
      </c>
      <c r="AE55" s="163">
        <v>3000</v>
      </c>
      <c r="AF55" s="163">
        <v>5000</v>
      </c>
      <c r="AG55" s="163">
        <v>5000</v>
      </c>
      <c r="AH55" s="163">
        <v>5000</v>
      </c>
      <c r="AI55" s="163">
        <v>5000</v>
      </c>
      <c r="AJ55" s="163">
        <v>5000</v>
      </c>
      <c r="AK55" s="163">
        <v>5000</v>
      </c>
      <c r="AL55" s="164">
        <v>5000</v>
      </c>
      <c r="AM55" s="71">
        <f ca="1">SUM(OFFSET($C55,0,0,1,12))</f>
        <v>16000</v>
      </c>
      <c r="AN55" s="71">
        <f ca="1">SUM(OFFSET($C55,0,12,1,12))</f>
        <v>40000</v>
      </c>
      <c r="AO55" s="99">
        <f ca="1">SUM(OFFSET($C55,0,24,1,12))</f>
        <v>57000</v>
      </c>
    </row>
    <row r="56" spans="1:78" x14ac:dyDescent="0.2">
      <c r="A56" s="67" t="s">
        <v>142</v>
      </c>
      <c r="B56" s="98">
        <v>1800</v>
      </c>
      <c r="C56" s="64"/>
      <c r="D56" s="64"/>
      <c r="E56" s="64">
        <f>$B56</f>
        <v>1800</v>
      </c>
      <c r="F56" s="64">
        <f t="shared" ref="F56:AL56" si="29">E56</f>
        <v>1800</v>
      </c>
      <c r="G56" s="64">
        <f t="shared" si="29"/>
        <v>1800</v>
      </c>
      <c r="H56" s="64">
        <f t="shared" si="29"/>
        <v>1800</v>
      </c>
      <c r="I56" s="64">
        <f t="shared" si="29"/>
        <v>1800</v>
      </c>
      <c r="J56" s="64">
        <f t="shared" si="29"/>
        <v>1800</v>
      </c>
      <c r="K56" s="64">
        <f t="shared" si="29"/>
        <v>1800</v>
      </c>
      <c r="L56" s="64">
        <f t="shared" si="29"/>
        <v>1800</v>
      </c>
      <c r="M56" s="64">
        <f t="shared" si="29"/>
        <v>1800</v>
      </c>
      <c r="N56" s="64">
        <f t="shared" si="29"/>
        <v>1800</v>
      </c>
      <c r="O56" s="64">
        <f t="shared" si="29"/>
        <v>1800</v>
      </c>
      <c r="P56" s="64">
        <f t="shared" si="29"/>
        <v>1800</v>
      </c>
      <c r="Q56" s="64">
        <f t="shared" si="29"/>
        <v>1800</v>
      </c>
      <c r="R56" s="64">
        <f t="shared" si="29"/>
        <v>1800</v>
      </c>
      <c r="S56" s="64">
        <f t="shared" si="29"/>
        <v>1800</v>
      </c>
      <c r="T56" s="64">
        <f>S56*2</f>
        <v>3600</v>
      </c>
      <c r="U56" s="64">
        <f t="shared" si="29"/>
        <v>3600</v>
      </c>
      <c r="V56" s="64">
        <f t="shared" si="29"/>
        <v>3600</v>
      </c>
      <c r="W56" s="64">
        <f t="shared" si="29"/>
        <v>3600</v>
      </c>
      <c r="X56" s="64">
        <f t="shared" si="29"/>
        <v>3600</v>
      </c>
      <c r="Y56" s="64">
        <f t="shared" si="29"/>
        <v>3600</v>
      </c>
      <c r="Z56" s="64">
        <f t="shared" si="29"/>
        <v>3600</v>
      </c>
      <c r="AA56" s="64">
        <f t="shared" si="29"/>
        <v>3600</v>
      </c>
      <c r="AB56" s="64">
        <f t="shared" si="29"/>
        <v>3600</v>
      </c>
      <c r="AC56" s="64">
        <f t="shared" si="29"/>
        <v>3600</v>
      </c>
      <c r="AD56" s="64">
        <f t="shared" si="29"/>
        <v>3600</v>
      </c>
      <c r="AE56" s="64">
        <f t="shared" si="29"/>
        <v>3600</v>
      </c>
      <c r="AF56" s="64">
        <f t="shared" si="29"/>
        <v>3600</v>
      </c>
      <c r="AG56" s="64">
        <f t="shared" si="29"/>
        <v>3600</v>
      </c>
      <c r="AH56" s="64">
        <f t="shared" si="29"/>
        <v>3600</v>
      </c>
      <c r="AI56" s="64">
        <f t="shared" si="29"/>
        <v>3600</v>
      </c>
      <c r="AJ56" s="64">
        <f t="shared" si="29"/>
        <v>3600</v>
      </c>
      <c r="AK56" s="64">
        <f t="shared" si="29"/>
        <v>3600</v>
      </c>
      <c r="AL56" s="65">
        <f t="shared" si="29"/>
        <v>3600</v>
      </c>
      <c r="AM56" s="71">
        <f ca="1">SUM(OFFSET($C56,0,0,1,12))</f>
        <v>18000</v>
      </c>
      <c r="AN56" s="71">
        <f ca="1">SUM(OFFSET($C56,0,12,1,12))</f>
        <v>34200</v>
      </c>
      <c r="AO56" s="99">
        <f ca="1">SUM(OFFSET($C56,0,24,1,12))</f>
        <v>43200</v>
      </c>
    </row>
    <row r="57" spans="1:78" x14ac:dyDescent="0.2">
      <c r="A57" s="67" t="s">
        <v>143</v>
      </c>
      <c r="B57" s="98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>
        <f>80000/7</f>
        <v>11428.571428571429</v>
      </c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>
        <f>80000/7*2</f>
        <v>22857.142857142859</v>
      </c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0">
        <f>80000/7*2</f>
        <v>22857.142857142859</v>
      </c>
      <c r="AM57" s="71">
        <f ca="1">SUM(OFFSET($C57,0,0,1,12))</f>
        <v>11428.571428571429</v>
      </c>
      <c r="AN57" s="71">
        <f ca="1">SUM(OFFSET($C57,0,12,1,12))</f>
        <v>22857.142857142859</v>
      </c>
      <c r="AO57" s="99">
        <f ca="1">SUM(OFFSET($C57,0,24,1,12))</f>
        <v>22857.142857142859</v>
      </c>
    </row>
    <row r="58" spans="1:78" x14ac:dyDescent="0.2">
      <c r="A58" s="67"/>
      <c r="B58" s="98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64"/>
      <c r="AH58" s="64"/>
      <c r="AI58" s="64"/>
      <c r="AJ58" s="64"/>
      <c r="AK58" s="64"/>
      <c r="AL58" s="65"/>
      <c r="AM58" s="71"/>
      <c r="AN58" s="71"/>
      <c r="AO58" s="70"/>
    </row>
    <row r="59" spans="1:78" x14ac:dyDescent="0.2">
      <c r="A59" s="67"/>
      <c r="B59" s="98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5"/>
      <c r="AM59" s="71"/>
      <c r="AN59" s="71"/>
      <c r="AO59" s="70"/>
    </row>
    <row r="60" spans="1:78" x14ac:dyDescent="0.2">
      <c r="A60" s="97"/>
      <c r="B60" s="96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4"/>
      <c r="AM60" s="93"/>
      <c r="AN60" s="93"/>
      <c r="AO60" s="92"/>
      <c r="AP60" s="55" t="s">
        <v>144</v>
      </c>
      <c r="AQ60" s="55" t="s">
        <v>145</v>
      </c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</row>
    <row r="61" spans="1:78" x14ac:dyDescent="0.2">
      <c r="A61" s="91" t="s">
        <v>146</v>
      </c>
      <c r="B61" s="90"/>
      <c r="C61" s="89">
        <f t="shared" ref="C61:AL61" si="30">SUM(C54+C38+C10+C5)</f>
        <v>52172.285714285717</v>
      </c>
      <c r="D61" s="89">
        <f t="shared" si="30"/>
        <v>700</v>
      </c>
      <c r="E61" s="89">
        <f t="shared" si="30"/>
        <v>287500</v>
      </c>
      <c r="F61" s="89">
        <f t="shared" si="30"/>
        <v>2000</v>
      </c>
      <c r="G61" s="89">
        <f t="shared" si="30"/>
        <v>2000</v>
      </c>
      <c r="H61" s="89">
        <f t="shared" si="30"/>
        <v>10250</v>
      </c>
      <c r="I61" s="89">
        <f t="shared" si="30"/>
        <v>100296.93693693694</v>
      </c>
      <c r="J61" s="89">
        <f t="shared" si="30"/>
        <v>59010</v>
      </c>
      <c r="K61" s="89">
        <f t="shared" si="30"/>
        <v>73966.936936936938</v>
      </c>
      <c r="L61" s="89">
        <f t="shared" si="30"/>
        <v>90900</v>
      </c>
      <c r="M61" s="89">
        <f t="shared" si="30"/>
        <v>97688.936936936938</v>
      </c>
      <c r="N61" s="89">
        <f t="shared" si="30"/>
        <v>149309.14285714284</v>
      </c>
      <c r="O61" s="89">
        <f t="shared" si="30"/>
        <v>250751.60360360361</v>
      </c>
      <c r="P61" s="89">
        <f t="shared" si="30"/>
        <v>107864.66666666667</v>
      </c>
      <c r="Q61" s="89">
        <f t="shared" si="30"/>
        <v>113901.60360360361</v>
      </c>
      <c r="R61" s="89">
        <f t="shared" si="30"/>
        <v>128414.66666666667</v>
      </c>
      <c r="S61" s="89">
        <f t="shared" si="30"/>
        <v>843951.60360360355</v>
      </c>
      <c r="T61" s="89">
        <f t="shared" si="30"/>
        <v>389369.23809523811</v>
      </c>
      <c r="U61" s="89">
        <f t="shared" si="30"/>
        <v>138169.60360360361</v>
      </c>
      <c r="V61" s="89">
        <f t="shared" si="30"/>
        <v>126232.66666666667</v>
      </c>
      <c r="W61" s="89">
        <f t="shared" si="30"/>
        <v>156669.60360360361</v>
      </c>
      <c r="X61" s="89">
        <f t="shared" si="30"/>
        <v>140562.66666666669</v>
      </c>
      <c r="Y61" s="89">
        <f t="shared" si="30"/>
        <v>304699.60360360361</v>
      </c>
      <c r="Z61" s="89">
        <f t="shared" si="30"/>
        <v>270691.23809523811</v>
      </c>
      <c r="AA61" s="89">
        <f t="shared" si="30"/>
        <v>208475.60360360361</v>
      </c>
      <c r="AB61" s="89">
        <f t="shared" si="30"/>
        <v>141588.66666666669</v>
      </c>
      <c r="AC61" s="89">
        <f t="shared" si="30"/>
        <v>142025.60360360361</v>
      </c>
      <c r="AD61" s="89">
        <f t="shared" si="30"/>
        <v>162138.66666666669</v>
      </c>
      <c r="AE61" s="89">
        <f t="shared" si="30"/>
        <v>877075.60360360367</v>
      </c>
      <c r="AF61" s="89">
        <f t="shared" si="30"/>
        <v>200067.23809523811</v>
      </c>
      <c r="AG61" s="89">
        <f t="shared" si="30"/>
        <v>185303.60360360361</v>
      </c>
      <c r="AH61" s="89">
        <f t="shared" si="30"/>
        <v>165566.66666666669</v>
      </c>
      <c r="AI61" s="89">
        <f t="shared" si="30"/>
        <v>396003.60360360361</v>
      </c>
      <c r="AJ61" s="89">
        <f t="shared" si="30"/>
        <v>171116.66666666669</v>
      </c>
      <c r="AK61" s="89">
        <f t="shared" si="30"/>
        <v>166053.60360360361</v>
      </c>
      <c r="AL61" s="88">
        <f t="shared" si="30"/>
        <v>595616.66666666674</v>
      </c>
      <c r="AM61" s="87">
        <f ca="1">SUM(OFFSET($C61,0,0,1,12))</f>
        <v>925794.23938223941</v>
      </c>
      <c r="AN61" s="87">
        <f ca="1">SUM(OFFSET($C61,0,12,1,12))</f>
        <v>2971278.7644787645</v>
      </c>
      <c r="AO61" s="86">
        <f ca="1">SUM(OFFSET($C61,0,24,1,12))</f>
        <v>3411032.1930501936</v>
      </c>
      <c r="AP61" s="57">
        <f ca="1">SUM(AM61:AO61)</f>
        <v>7308105.1969111972</v>
      </c>
      <c r="AQ61" s="57">
        <f ca="1">AM61+AN61+SUM(AA5:AF5)+SUM(AA10:AF10)+SUM(AA38:AF38)+SUM(AA54:AF54)</f>
        <v>5628444.3861003872</v>
      </c>
    </row>
    <row r="62" spans="1:78" x14ac:dyDescent="0.2">
      <c r="A62" s="85" t="s">
        <v>147</v>
      </c>
      <c r="B62" s="84"/>
      <c r="C62" s="83">
        <f t="shared" ref="C62:AL62" si="31">-C61</f>
        <v>-52172.285714285717</v>
      </c>
      <c r="D62" s="82">
        <f t="shared" si="31"/>
        <v>-700</v>
      </c>
      <c r="E62" s="82">
        <f t="shared" si="31"/>
        <v>-287500</v>
      </c>
      <c r="F62" s="82">
        <f t="shared" si="31"/>
        <v>-2000</v>
      </c>
      <c r="G62" s="82">
        <f t="shared" si="31"/>
        <v>-2000</v>
      </c>
      <c r="H62" s="82">
        <f t="shared" si="31"/>
        <v>-10250</v>
      </c>
      <c r="I62" s="82">
        <f t="shared" si="31"/>
        <v>-100296.93693693694</v>
      </c>
      <c r="J62" s="82">
        <f t="shared" si="31"/>
        <v>-59010</v>
      </c>
      <c r="K62" s="82">
        <f t="shared" si="31"/>
        <v>-73966.936936936938</v>
      </c>
      <c r="L62" s="82">
        <f t="shared" si="31"/>
        <v>-90900</v>
      </c>
      <c r="M62" s="82">
        <f t="shared" si="31"/>
        <v>-97688.936936936938</v>
      </c>
      <c r="N62" s="82">
        <f t="shared" si="31"/>
        <v>-149309.14285714284</v>
      </c>
      <c r="O62" s="82">
        <f t="shared" si="31"/>
        <v>-250751.60360360361</v>
      </c>
      <c r="P62" s="82">
        <f t="shared" si="31"/>
        <v>-107864.66666666667</v>
      </c>
      <c r="Q62" s="82">
        <f t="shared" si="31"/>
        <v>-113901.60360360361</v>
      </c>
      <c r="R62" s="82">
        <f t="shared" si="31"/>
        <v>-128414.66666666667</v>
      </c>
      <c r="S62" s="82">
        <f t="shared" si="31"/>
        <v>-843951.60360360355</v>
      </c>
      <c r="T62" s="82">
        <f t="shared" si="31"/>
        <v>-389369.23809523811</v>
      </c>
      <c r="U62" s="82">
        <f t="shared" si="31"/>
        <v>-138169.60360360361</v>
      </c>
      <c r="V62" s="82">
        <f t="shared" si="31"/>
        <v>-126232.66666666667</v>
      </c>
      <c r="W62" s="82">
        <f t="shared" si="31"/>
        <v>-156669.60360360361</v>
      </c>
      <c r="X62" s="82">
        <f t="shared" si="31"/>
        <v>-140562.66666666669</v>
      </c>
      <c r="Y62" s="82">
        <f t="shared" si="31"/>
        <v>-304699.60360360361</v>
      </c>
      <c r="Z62" s="82">
        <f t="shared" si="31"/>
        <v>-270691.23809523811</v>
      </c>
      <c r="AA62" s="82">
        <f t="shared" si="31"/>
        <v>-208475.60360360361</v>
      </c>
      <c r="AB62" s="82">
        <f t="shared" si="31"/>
        <v>-141588.66666666669</v>
      </c>
      <c r="AC62" s="82">
        <f t="shared" si="31"/>
        <v>-142025.60360360361</v>
      </c>
      <c r="AD62" s="82">
        <f t="shared" si="31"/>
        <v>-162138.66666666669</v>
      </c>
      <c r="AE62" s="82">
        <f t="shared" si="31"/>
        <v>-877075.60360360367</v>
      </c>
      <c r="AF62" s="82">
        <f t="shared" si="31"/>
        <v>-200067.23809523811</v>
      </c>
      <c r="AG62" s="82">
        <f t="shared" si="31"/>
        <v>-185303.60360360361</v>
      </c>
      <c r="AH62" s="82">
        <f t="shared" si="31"/>
        <v>-165566.66666666669</v>
      </c>
      <c r="AI62" s="82">
        <f t="shared" si="31"/>
        <v>-396003.60360360361</v>
      </c>
      <c r="AJ62" s="82">
        <f t="shared" si="31"/>
        <v>-171116.66666666669</v>
      </c>
      <c r="AK62" s="82">
        <f t="shared" si="31"/>
        <v>-166053.60360360361</v>
      </c>
      <c r="AL62" s="81">
        <f t="shared" si="31"/>
        <v>-595616.66666666674</v>
      </c>
      <c r="AM62" s="80">
        <f ca="1">SUM(OFFSET($C62,0,0,1,12))</f>
        <v>-925794.23938223941</v>
      </c>
      <c r="AN62" s="80">
        <f ca="1">SUM(OFFSET($C62,0,12,1,12))</f>
        <v>-2971278.7644787645</v>
      </c>
      <c r="AO62" s="79">
        <f ca="1">SUM(OFFSET($C62,0,24,1,12))</f>
        <v>-3411032.1930501936</v>
      </c>
    </row>
    <row r="63" spans="1:78" x14ac:dyDescent="0.2">
      <c r="A63" s="67"/>
      <c r="B63" s="66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5"/>
      <c r="AM63" s="64"/>
      <c r="AN63" s="64"/>
      <c r="AO63" s="63"/>
    </row>
    <row r="64" spans="1:78" x14ac:dyDescent="0.2">
      <c r="A64" s="78" t="s">
        <v>148</v>
      </c>
      <c r="B64" s="66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5"/>
      <c r="AM64" s="64"/>
      <c r="AN64" s="64"/>
      <c r="AO64" s="63"/>
    </row>
    <row r="65" spans="1:68" x14ac:dyDescent="0.2">
      <c r="A65" s="67" t="s">
        <v>149</v>
      </c>
      <c r="B65" s="66"/>
      <c r="C65" s="74">
        <f>825000</f>
        <v>825000</v>
      </c>
      <c r="D65" s="74"/>
      <c r="E65" s="77"/>
      <c r="F65" s="74"/>
      <c r="G65" s="74"/>
      <c r="H65" s="74"/>
      <c r="I65" s="74"/>
      <c r="J65" s="74"/>
      <c r="K65" s="236">
        <f>2798000/0.91</f>
        <v>3074725.2747252746</v>
      </c>
      <c r="L65" s="236"/>
      <c r="M65" s="236"/>
      <c r="N65" s="236"/>
      <c r="O65" s="236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236">
        <f>10000000</f>
        <v>10000000</v>
      </c>
      <c r="AG65" s="74"/>
      <c r="AH65" s="74"/>
      <c r="AI65" s="74"/>
      <c r="AJ65" s="74"/>
      <c r="AK65" s="74"/>
      <c r="AL65" s="73"/>
      <c r="AM65" s="76"/>
      <c r="AN65" s="76"/>
      <c r="AO65" s="75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</row>
    <row r="66" spans="1:68" x14ac:dyDescent="0.2">
      <c r="A66" s="67" t="s">
        <v>150</v>
      </c>
      <c r="B66" s="66"/>
      <c r="C66" s="74">
        <v>250000</v>
      </c>
      <c r="D66" s="74"/>
      <c r="E66" s="74">
        <v>14640</v>
      </c>
      <c r="F66" s="74">
        <v>250000</v>
      </c>
      <c r="G66" s="74"/>
      <c r="H66" s="74"/>
      <c r="I66" s="74"/>
      <c r="J66" s="74"/>
      <c r="K66" s="236"/>
      <c r="L66" s="236"/>
      <c r="M66" s="236">
        <v>14640</v>
      </c>
      <c r="N66" s="236">
        <f>289000/0.91</f>
        <v>317582.41758241755</v>
      </c>
      <c r="O66" s="236">
        <f>542090</f>
        <v>542090</v>
      </c>
      <c r="P66" s="74"/>
      <c r="Q66" s="74"/>
      <c r="R66" s="74"/>
      <c r="S66" s="74"/>
      <c r="T66" s="74"/>
      <c r="U66" s="74"/>
      <c r="V66" s="236">
        <f>664215.75</f>
        <v>664215.75</v>
      </c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236">
        <f>2952070</f>
        <v>2952070</v>
      </c>
      <c r="AI66" s="74"/>
      <c r="AJ66" s="74"/>
      <c r="AK66" s="74"/>
      <c r="AL66" s="73"/>
      <c r="AM66" s="71"/>
      <c r="AN66" s="71"/>
      <c r="AO66" s="70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</row>
    <row r="67" spans="1:68" x14ac:dyDescent="0.2">
      <c r="A67" s="67" t="s">
        <v>148</v>
      </c>
      <c r="B67" s="66"/>
      <c r="C67" s="64">
        <f t="shared" ref="C67:AL67" si="32">C66+C65+C62</f>
        <v>1022827.7142857143</v>
      </c>
      <c r="D67" s="64">
        <f t="shared" si="32"/>
        <v>-700</v>
      </c>
      <c r="E67" s="64">
        <f t="shared" si="32"/>
        <v>-272860</v>
      </c>
      <c r="F67" s="64">
        <f t="shared" si="32"/>
        <v>248000</v>
      </c>
      <c r="G67" s="64">
        <f t="shared" si="32"/>
        <v>-2000</v>
      </c>
      <c r="H67" s="64">
        <f t="shared" si="32"/>
        <v>-10250</v>
      </c>
      <c r="I67" s="64">
        <f t="shared" si="32"/>
        <v>-100296.93693693694</v>
      </c>
      <c r="J67" s="64">
        <f t="shared" si="32"/>
        <v>-59010</v>
      </c>
      <c r="K67" s="64">
        <f t="shared" si="32"/>
        <v>3000758.3377883378</v>
      </c>
      <c r="L67" s="64">
        <f t="shared" si="32"/>
        <v>-90900</v>
      </c>
      <c r="M67" s="64">
        <f t="shared" si="32"/>
        <v>-83048.936936936938</v>
      </c>
      <c r="N67" s="64">
        <f t="shared" si="32"/>
        <v>168273.27472527471</v>
      </c>
      <c r="O67" s="64">
        <f t="shared" si="32"/>
        <v>291338.39639639639</v>
      </c>
      <c r="P67" s="64">
        <f t="shared" si="32"/>
        <v>-107864.66666666667</v>
      </c>
      <c r="Q67" s="64">
        <f t="shared" si="32"/>
        <v>-113901.60360360361</v>
      </c>
      <c r="R67" s="64">
        <f t="shared" si="32"/>
        <v>-128414.66666666667</v>
      </c>
      <c r="S67" s="64">
        <f t="shared" si="32"/>
        <v>-843951.60360360355</v>
      </c>
      <c r="T67" s="64">
        <f t="shared" si="32"/>
        <v>-389369.23809523811</v>
      </c>
      <c r="U67" s="64">
        <f t="shared" si="32"/>
        <v>-138169.60360360361</v>
      </c>
      <c r="V67" s="64">
        <f t="shared" si="32"/>
        <v>537983.08333333337</v>
      </c>
      <c r="W67" s="64">
        <f t="shared" si="32"/>
        <v>-156669.60360360361</v>
      </c>
      <c r="X67" s="64">
        <f t="shared" si="32"/>
        <v>-140562.66666666669</v>
      </c>
      <c r="Y67" s="64">
        <f t="shared" si="32"/>
        <v>-304699.60360360361</v>
      </c>
      <c r="Z67" s="64">
        <f t="shared" si="32"/>
        <v>-270691.23809523811</v>
      </c>
      <c r="AA67" s="64">
        <f t="shared" si="32"/>
        <v>-208475.60360360361</v>
      </c>
      <c r="AB67" s="64">
        <f t="shared" si="32"/>
        <v>-141588.66666666669</v>
      </c>
      <c r="AC67" s="64">
        <f t="shared" si="32"/>
        <v>-142025.60360360361</v>
      </c>
      <c r="AD67" s="64">
        <f>AD66+AD65+AD62</f>
        <v>-162138.66666666669</v>
      </c>
      <c r="AE67" s="64">
        <f t="shared" si="32"/>
        <v>-877075.60360360367</v>
      </c>
      <c r="AF67" s="64">
        <f t="shared" si="32"/>
        <v>9799932.7619047612</v>
      </c>
      <c r="AG67" s="64">
        <f>AG66+AG65+AG62</f>
        <v>-185303.60360360361</v>
      </c>
      <c r="AH67" s="64">
        <f t="shared" si="32"/>
        <v>2786503.3333333335</v>
      </c>
      <c r="AI67" s="64">
        <f t="shared" si="32"/>
        <v>-396003.60360360361</v>
      </c>
      <c r="AJ67" s="64">
        <f t="shared" si="32"/>
        <v>-171116.66666666669</v>
      </c>
      <c r="AK67" s="64">
        <f t="shared" si="32"/>
        <v>-166053.60360360361</v>
      </c>
      <c r="AL67" s="65">
        <f t="shared" si="32"/>
        <v>-595616.66666666674</v>
      </c>
      <c r="AM67" s="71">
        <f ca="1">SUM(OFFSET($C67,0,0,1,12))</f>
        <v>3820793.452925453</v>
      </c>
      <c r="AN67" s="71">
        <f ca="1">SUM(OFFSET($C67,0,12,1,12))</f>
        <v>-1764973.0144787645</v>
      </c>
      <c r="AO67" s="70">
        <f ca="1">SUM(OFFSET($C67,0,24,1,12))</f>
        <v>9541037.8069498092</v>
      </c>
    </row>
    <row r="68" spans="1:68" x14ac:dyDescent="0.2">
      <c r="A68" s="67" t="s">
        <v>151</v>
      </c>
      <c r="B68" s="66"/>
      <c r="C68" s="64">
        <f>C67</f>
        <v>1022827.7142857143</v>
      </c>
      <c r="D68" s="64">
        <f>C68+D67</f>
        <v>1022127.7142857143</v>
      </c>
      <c r="E68" s="64">
        <f t="shared" ref="E68:AL68" si="33">D68+E67</f>
        <v>749267.71428571432</v>
      </c>
      <c r="F68" s="64">
        <f t="shared" si="33"/>
        <v>997267.71428571432</v>
      </c>
      <c r="G68" s="64">
        <f t="shared" si="33"/>
        <v>995267.71428571432</v>
      </c>
      <c r="H68" s="64">
        <f t="shared" si="33"/>
        <v>985017.71428571432</v>
      </c>
      <c r="I68" s="64">
        <f t="shared" si="33"/>
        <v>884720.7773487774</v>
      </c>
      <c r="J68" s="64">
        <f t="shared" si="33"/>
        <v>825710.7773487774</v>
      </c>
      <c r="K68" s="64">
        <f t="shared" si="33"/>
        <v>3826469.1151371151</v>
      </c>
      <c r="L68" s="64">
        <f t="shared" si="33"/>
        <v>3735569.1151371151</v>
      </c>
      <c r="M68" s="64">
        <f t="shared" si="33"/>
        <v>3652520.1782001783</v>
      </c>
      <c r="N68" s="64">
        <f>M68+N67</f>
        <v>3820793.452925453</v>
      </c>
      <c r="O68" s="64">
        <f t="shared" si="33"/>
        <v>4112131.8493218492</v>
      </c>
      <c r="P68" s="64">
        <f t="shared" si="33"/>
        <v>4004267.1826551827</v>
      </c>
      <c r="Q68" s="64">
        <f t="shared" si="33"/>
        <v>3890365.5790515789</v>
      </c>
      <c r="R68" s="64">
        <f t="shared" si="33"/>
        <v>3761950.9123849124</v>
      </c>
      <c r="S68" s="64">
        <f t="shared" si="33"/>
        <v>2917999.3087813091</v>
      </c>
      <c r="T68" s="64">
        <f t="shared" si="33"/>
        <v>2528630.0706860712</v>
      </c>
      <c r="U68" s="64">
        <f t="shared" si="33"/>
        <v>2390460.4670824674</v>
      </c>
      <c r="V68" s="64">
        <f>U68+V67</f>
        <v>2928443.5504158009</v>
      </c>
      <c r="W68" s="64">
        <f t="shared" si="33"/>
        <v>2771773.9468121971</v>
      </c>
      <c r="X68" s="64">
        <f t="shared" si="33"/>
        <v>2631211.2801455306</v>
      </c>
      <c r="Y68" s="64">
        <f t="shared" si="33"/>
        <v>2326511.6765419268</v>
      </c>
      <c r="Z68" s="64">
        <f t="shared" si="33"/>
        <v>2055820.4384466887</v>
      </c>
      <c r="AA68" s="64">
        <f t="shared" si="33"/>
        <v>1847344.8348430851</v>
      </c>
      <c r="AB68" s="64">
        <f t="shared" si="33"/>
        <v>1705756.1681764184</v>
      </c>
      <c r="AC68" s="64">
        <f t="shared" si="33"/>
        <v>1563730.5645728149</v>
      </c>
      <c r="AD68" s="64">
        <f t="shared" si="33"/>
        <v>1401591.8979061481</v>
      </c>
      <c r="AE68" s="64">
        <f t="shared" si="33"/>
        <v>524516.29430254444</v>
      </c>
      <c r="AF68" s="64">
        <f t="shared" si="33"/>
        <v>10324449.056207305</v>
      </c>
      <c r="AG68" s="64">
        <f t="shared" si="33"/>
        <v>10139145.452603702</v>
      </c>
      <c r="AH68" s="64">
        <f t="shared" si="33"/>
        <v>12925648.785937035</v>
      </c>
      <c r="AI68" s="64">
        <f t="shared" si="33"/>
        <v>12529645.182333432</v>
      </c>
      <c r="AJ68" s="64">
        <f t="shared" si="33"/>
        <v>12358528.515666766</v>
      </c>
      <c r="AK68" s="64">
        <f t="shared" si="33"/>
        <v>12192474.912063163</v>
      </c>
      <c r="AL68" s="65">
        <f t="shared" si="33"/>
        <v>11596858.245396497</v>
      </c>
      <c r="AM68" s="69">
        <f ca="1">OFFSET($C68,0,11,1,1)</f>
        <v>3820793.452925453</v>
      </c>
      <c r="AN68" s="69">
        <f ca="1">OFFSET($C68,0,23,1,1)</f>
        <v>2055820.4384466887</v>
      </c>
      <c r="AO68" s="68">
        <f ca="1">OFFSET($C68,0,35,1,1)</f>
        <v>11596858.245396497</v>
      </c>
    </row>
    <row r="69" spans="1:68" x14ac:dyDescent="0.2">
      <c r="A69" s="67"/>
      <c r="B69" s="66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5"/>
      <c r="AM69" s="64"/>
      <c r="AN69" s="64"/>
      <c r="AO69" s="63"/>
    </row>
    <row r="70" spans="1:68" x14ac:dyDescent="0.2">
      <c r="A70" s="62"/>
      <c r="B70" s="61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60"/>
      <c r="AM70" s="59"/>
      <c r="AN70" s="59"/>
      <c r="AO70" s="58"/>
    </row>
  </sheetData>
  <pageMargins left="0.7" right="0.7" top="0.75" bottom="0.75" header="0.3" footer="0.3"/>
  <pageSetup paperSize="9" orientation="portrait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F4E-297B-4ADB-8713-CFBEE6B7E2F1}">
  <sheetPr codeName="Sheet5">
    <tabColor rgb="FFB5E5B7"/>
  </sheetPr>
  <dimension ref="L3:AJ33"/>
  <sheetViews>
    <sheetView workbookViewId="0"/>
  </sheetViews>
  <sheetFormatPr defaultColWidth="8.875" defaultRowHeight="15.75" x14ac:dyDescent="0.25"/>
  <cols>
    <col min="14" max="14" width="14.125" customWidth="1"/>
    <col min="17" max="17" width="14.625" customWidth="1"/>
    <col min="18" max="18" width="13.625" bestFit="1" customWidth="1"/>
    <col min="19" max="19" width="13.625" customWidth="1"/>
    <col min="20" max="20" width="12.125" customWidth="1"/>
    <col min="21" max="21" width="13.875" customWidth="1"/>
    <col min="22" max="22" width="13.125" customWidth="1"/>
    <col min="23" max="25" width="12" bestFit="1" customWidth="1"/>
    <col min="26" max="36" width="11" bestFit="1" customWidth="1"/>
  </cols>
  <sheetData>
    <row r="3" spans="12:36" x14ac:dyDescent="0.25">
      <c r="L3" t="s">
        <v>221</v>
      </c>
    </row>
    <row r="7" spans="12:36" x14ac:dyDescent="0.25">
      <c r="M7" t="s">
        <v>222</v>
      </c>
      <c r="N7">
        <f>'Reference Case'!AR59</f>
        <v>15000000</v>
      </c>
      <c r="Q7">
        <v>1</v>
      </c>
      <c r="R7">
        <v>2</v>
      </c>
      <c r="S7">
        <v>3</v>
      </c>
      <c r="T7">
        <v>4</v>
      </c>
      <c r="U7">
        <v>5</v>
      </c>
      <c r="V7">
        <v>6</v>
      </c>
      <c r="W7">
        <v>7</v>
      </c>
      <c r="X7">
        <v>8</v>
      </c>
      <c r="Y7">
        <v>9</v>
      </c>
      <c r="Z7">
        <v>10</v>
      </c>
      <c r="AA7">
        <v>11</v>
      </c>
      <c r="AB7">
        <v>12</v>
      </c>
      <c r="AC7">
        <v>13</v>
      </c>
      <c r="AD7">
        <v>14</v>
      </c>
      <c r="AE7">
        <v>15</v>
      </c>
      <c r="AF7">
        <v>16</v>
      </c>
      <c r="AG7">
        <v>17</v>
      </c>
      <c r="AH7">
        <v>18</v>
      </c>
      <c r="AI7">
        <v>19</v>
      </c>
      <c r="AJ7">
        <v>20</v>
      </c>
    </row>
    <row r="8" spans="12:36" x14ac:dyDescent="0.25">
      <c r="M8" t="s">
        <v>223</v>
      </c>
      <c r="N8">
        <v>0.05</v>
      </c>
      <c r="P8" t="s">
        <v>224</v>
      </c>
      <c r="Q8" s="202">
        <v>15000000</v>
      </c>
      <c r="R8" s="202">
        <f>Q11</f>
        <v>14546361.192139629</v>
      </c>
      <c r="S8" s="202">
        <f t="shared" ref="S8:AC8" si="0">R11</f>
        <v>14070040.443886241</v>
      </c>
      <c r="T8" s="202">
        <f t="shared" si="0"/>
        <v>13569903.658220183</v>
      </c>
      <c r="U8" s="202">
        <f t="shared" si="0"/>
        <v>13044760.033270823</v>
      </c>
      <c r="V8" s="202">
        <f t="shared" si="0"/>
        <v>12493359.227073994</v>
      </c>
      <c r="W8" s="202">
        <f t="shared" si="0"/>
        <v>11914388.380567323</v>
      </c>
      <c r="X8" s="202">
        <f t="shared" si="0"/>
        <v>11306468.991735321</v>
      </c>
      <c r="Y8" s="202">
        <f t="shared" si="0"/>
        <v>10668153.633461718</v>
      </c>
      <c r="Z8" s="202">
        <f t="shared" si="0"/>
        <v>9997922.507274434</v>
      </c>
      <c r="AA8" s="202">
        <f t="shared" si="0"/>
        <v>9294179.8247777857</v>
      </c>
      <c r="AB8" s="202">
        <f t="shared" si="0"/>
        <v>8555250.0081563052</v>
      </c>
      <c r="AC8" s="202">
        <f t="shared" si="0"/>
        <v>7779373.7007037504</v>
      </c>
      <c r="AD8" s="202">
        <f>AC11</f>
        <v>6964703.5778785683</v>
      </c>
      <c r="AE8" s="202">
        <f t="shared" ref="AE8:AH8" si="1">AD11</f>
        <v>6109299.9489121269</v>
      </c>
      <c r="AF8" s="202">
        <f t="shared" si="1"/>
        <v>5211126.1384973638</v>
      </c>
      <c r="AG8" s="202">
        <f t="shared" si="1"/>
        <v>4268043.6375618624</v>
      </c>
      <c r="AH8" s="202">
        <f t="shared" si="1"/>
        <v>3277807.0115795857</v>
      </c>
      <c r="AI8" s="202">
        <f t="shared" ref="AI8:AJ8" si="2">AH11</f>
        <v>2238058.5542981951</v>
      </c>
      <c r="AJ8" s="202">
        <f t="shared" si="2"/>
        <v>1146322.6741527349</v>
      </c>
    </row>
    <row r="9" spans="12:36" x14ac:dyDescent="0.25">
      <c r="M9" t="s">
        <v>225</v>
      </c>
      <c r="N9">
        <v>20</v>
      </c>
      <c r="P9" t="s">
        <v>226</v>
      </c>
      <c r="Q9" s="202">
        <f t="shared" ref="Q9:R9" si="3">Q8*$N$8</f>
        <v>750000</v>
      </c>
      <c r="R9" s="202">
        <f t="shared" si="3"/>
        <v>727318.05960698146</v>
      </c>
      <c r="S9" s="202">
        <f t="shared" ref="S9:AD9" si="4">S8*$N$8</f>
        <v>703502.02219431207</v>
      </c>
      <c r="T9" s="202">
        <f t="shared" si="4"/>
        <v>678495.18291100918</v>
      </c>
      <c r="U9" s="202">
        <f t="shared" si="4"/>
        <v>652238.00166354119</v>
      </c>
      <c r="V9" s="202">
        <f t="shared" si="4"/>
        <v>624667.96135369968</v>
      </c>
      <c r="W9" s="202">
        <f t="shared" si="4"/>
        <v>595719.41902836622</v>
      </c>
      <c r="X9" s="202">
        <f t="shared" si="4"/>
        <v>565323.44958676607</v>
      </c>
      <c r="Y9" s="202">
        <f t="shared" si="4"/>
        <v>533407.6816730859</v>
      </c>
      <c r="Z9" s="202">
        <f t="shared" si="4"/>
        <v>499896.12536372175</v>
      </c>
      <c r="AA9" s="202">
        <f t="shared" si="4"/>
        <v>464708.99123888928</v>
      </c>
      <c r="AB9" s="202">
        <f t="shared" si="4"/>
        <v>427762.50040781527</v>
      </c>
      <c r="AC9" s="202">
        <f t="shared" si="4"/>
        <v>388968.68503518752</v>
      </c>
      <c r="AD9" s="202">
        <f t="shared" si="4"/>
        <v>348235.17889392842</v>
      </c>
      <c r="AE9" s="202">
        <f t="shared" ref="AE9:AH9" si="5">AE8*$N$8</f>
        <v>305464.99744560634</v>
      </c>
      <c r="AF9" s="202">
        <f t="shared" si="5"/>
        <v>260556.3069248682</v>
      </c>
      <c r="AG9" s="202">
        <f t="shared" si="5"/>
        <v>213402.18187809314</v>
      </c>
      <c r="AH9" s="202">
        <f t="shared" si="5"/>
        <v>163890.3505789793</v>
      </c>
      <c r="AI9" s="202">
        <f t="shared" ref="AI9:AJ9" si="6">AI8*$N$8</f>
        <v>111902.92771490976</v>
      </c>
      <c r="AJ9" s="202">
        <f t="shared" si="6"/>
        <v>57316.133707636749</v>
      </c>
    </row>
    <row r="10" spans="12:36" x14ac:dyDescent="0.25">
      <c r="P10" t="s">
        <v>227</v>
      </c>
      <c r="Q10" s="202">
        <f t="shared" ref="Q10:R10" si="7">$N$11-Q9</f>
        <v>453638.80786036979</v>
      </c>
      <c r="R10" s="202">
        <f t="shared" si="7"/>
        <v>476320.74825338833</v>
      </c>
      <c r="S10" s="202">
        <f t="shared" ref="S10:AD10" si="8">$N$11-S9</f>
        <v>500136.78566605772</v>
      </c>
      <c r="T10" s="202">
        <f t="shared" si="8"/>
        <v>525143.62494936062</v>
      </c>
      <c r="U10" s="202">
        <f t="shared" si="8"/>
        <v>551400.80619682861</v>
      </c>
      <c r="V10" s="202">
        <f t="shared" si="8"/>
        <v>578970.84650667012</v>
      </c>
      <c r="W10" s="202">
        <f t="shared" si="8"/>
        <v>607919.38883200358</v>
      </c>
      <c r="X10" s="202">
        <f t="shared" si="8"/>
        <v>638315.35827360372</v>
      </c>
      <c r="Y10" s="202">
        <f t="shared" si="8"/>
        <v>670231.12618728389</v>
      </c>
      <c r="Z10" s="202">
        <f t="shared" si="8"/>
        <v>703742.68249664805</v>
      </c>
      <c r="AA10" s="202">
        <f t="shared" si="8"/>
        <v>738929.81662148051</v>
      </c>
      <c r="AB10" s="202">
        <f t="shared" si="8"/>
        <v>775876.30745255458</v>
      </c>
      <c r="AC10" s="202">
        <f t="shared" si="8"/>
        <v>814670.12282518228</v>
      </c>
      <c r="AD10" s="202">
        <f t="shared" si="8"/>
        <v>855403.62896644138</v>
      </c>
      <c r="AE10" s="202">
        <f t="shared" ref="AE10:AH10" si="9">$N$11-AE9</f>
        <v>898173.8104147634</v>
      </c>
      <c r="AF10" s="202">
        <f t="shared" si="9"/>
        <v>943082.50093550165</v>
      </c>
      <c r="AG10" s="202">
        <f t="shared" si="9"/>
        <v>990236.62598227663</v>
      </c>
      <c r="AH10" s="202">
        <f t="shared" si="9"/>
        <v>1039748.4572813904</v>
      </c>
      <c r="AI10" s="202">
        <f t="shared" ref="AI10:AJ10" si="10">$N$11-AI9</f>
        <v>1091735.8801454601</v>
      </c>
      <c r="AJ10" s="202">
        <f t="shared" si="10"/>
        <v>1146322.6741527331</v>
      </c>
    </row>
    <row r="11" spans="12:36" x14ac:dyDescent="0.25">
      <c r="M11" t="s">
        <v>228</v>
      </c>
      <c r="N11" s="202">
        <f>N7*((N8*(1+N8)^N9)/(((1+N8)^N9)-1))</f>
        <v>1203638.8078603698</v>
      </c>
      <c r="P11" t="s">
        <v>229</v>
      </c>
      <c r="Q11" s="202">
        <f t="shared" ref="Q11:R11" si="11">Q8-Q10</f>
        <v>14546361.192139629</v>
      </c>
      <c r="R11" s="202">
        <f t="shared" si="11"/>
        <v>14070040.443886241</v>
      </c>
      <c r="S11" s="202">
        <f t="shared" ref="S11:AD11" si="12">S8-S10</f>
        <v>13569903.658220183</v>
      </c>
      <c r="T11" s="202">
        <f t="shared" si="12"/>
        <v>13044760.033270823</v>
      </c>
      <c r="U11" s="202">
        <f t="shared" si="12"/>
        <v>12493359.227073994</v>
      </c>
      <c r="V11" s="202">
        <f t="shared" si="12"/>
        <v>11914388.380567323</v>
      </c>
      <c r="W11" s="202">
        <f t="shared" si="12"/>
        <v>11306468.991735321</v>
      </c>
      <c r="X11" s="202">
        <f t="shared" si="12"/>
        <v>10668153.633461718</v>
      </c>
      <c r="Y11" s="202">
        <f t="shared" si="12"/>
        <v>9997922.507274434</v>
      </c>
      <c r="Z11" s="202">
        <f t="shared" si="12"/>
        <v>9294179.8247777857</v>
      </c>
      <c r="AA11" s="202">
        <f t="shared" si="12"/>
        <v>8555250.0081563052</v>
      </c>
      <c r="AB11" s="202">
        <f t="shared" si="12"/>
        <v>7779373.7007037504</v>
      </c>
      <c r="AC11" s="202">
        <f t="shared" si="12"/>
        <v>6964703.5778785683</v>
      </c>
      <c r="AD11" s="202">
        <f t="shared" si="12"/>
        <v>6109299.9489121269</v>
      </c>
      <c r="AE11" s="202">
        <f t="shared" ref="AE11:AH11" si="13">AE8-AE10</f>
        <v>5211126.1384973638</v>
      </c>
      <c r="AF11" s="202">
        <f t="shared" si="13"/>
        <v>4268043.6375618624</v>
      </c>
      <c r="AG11" s="202">
        <f t="shared" si="13"/>
        <v>3277807.0115795857</v>
      </c>
      <c r="AH11" s="202">
        <f t="shared" si="13"/>
        <v>2238058.5542981951</v>
      </c>
      <c r="AI11" s="202">
        <f t="shared" ref="AI11:AJ11" si="14">AI8-AI10</f>
        <v>1146322.6741527349</v>
      </c>
      <c r="AJ11" s="202">
        <f t="shared" si="14"/>
        <v>1.862645149230957E-9</v>
      </c>
    </row>
    <row r="12" spans="12:36" x14ac:dyDescent="0.25">
      <c r="Q12" s="202"/>
      <c r="R12" s="202"/>
      <c r="S12" s="202"/>
      <c r="T12" s="202"/>
    </row>
    <row r="13" spans="12:36" x14ac:dyDescent="0.25">
      <c r="Q13" s="202"/>
      <c r="R13" s="202"/>
      <c r="S13" s="202"/>
      <c r="T13" s="202"/>
    </row>
    <row r="33" spans="16:16" x14ac:dyDescent="0.25">
      <c r="P33" s="23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6CBC-FBAF-482E-8004-BDE4C02236A8}">
  <sheetPr codeName="Sheet9">
    <tabColor rgb="FF2C7C30"/>
  </sheetPr>
  <dimension ref="A1"/>
  <sheetViews>
    <sheetView workbookViewId="0"/>
  </sheetViews>
  <sheetFormatPr defaultColWidth="8.875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BA94-10F2-427E-B4D8-13F2C46D2C3B}">
  <sheetPr codeName="Sheet6">
    <tabColor rgb="FFB5E5B7"/>
  </sheetPr>
  <dimension ref="AB3:AM8"/>
  <sheetViews>
    <sheetView workbookViewId="0"/>
  </sheetViews>
  <sheetFormatPr defaultColWidth="8.875" defaultRowHeight="15.75" x14ac:dyDescent="0.25"/>
  <cols>
    <col min="28" max="28" width="12.625" customWidth="1"/>
    <col min="29" max="29" width="14.375" customWidth="1"/>
    <col min="30" max="30" width="15.5" customWidth="1"/>
    <col min="31" max="31" width="14.5" customWidth="1"/>
    <col min="32" max="32" width="15.125" customWidth="1"/>
    <col min="33" max="33" width="16.125" customWidth="1"/>
    <col min="34" max="34" width="15.125" customWidth="1"/>
    <col min="35" max="35" width="16.625" customWidth="1"/>
    <col min="36" max="36" width="14.625" customWidth="1"/>
    <col min="37" max="37" width="18.625" customWidth="1"/>
    <col min="38" max="38" width="18.875" customWidth="1"/>
    <col min="39" max="39" width="19.625" bestFit="1" customWidth="1"/>
  </cols>
  <sheetData>
    <row r="3" spans="28:39" x14ac:dyDescent="0.25">
      <c r="AC3">
        <v>2024</v>
      </c>
      <c r="AD3">
        <v>2025</v>
      </c>
      <c r="AE3">
        <v>2026</v>
      </c>
      <c r="AF3">
        <v>2027</v>
      </c>
      <c r="AG3">
        <v>2028</v>
      </c>
      <c r="AH3">
        <v>2029</v>
      </c>
      <c r="AI3">
        <v>2030</v>
      </c>
      <c r="AJ3">
        <v>2031</v>
      </c>
      <c r="AK3">
        <v>2032</v>
      </c>
      <c r="AL3">
        <v>2033</v>
      </c>
      <c r="AM3">
        <v>2034</v>
      </c>
    </row>
    <row r="4" spans="28:39" x14ac:dyDescent="0.25">
      <c r="AB4" t="s">
        <v>230</v>
      </c>
      <c r="AC4" s="202">
        <f>'Reference Case'!E52</f>
        <v>-620242.23938223941</v>
      </c>
      <c r="AD4" s="202">
        <f>'Reference Case'!R52</f>
        <v>-2682516.7644787645</v>
      </c>
      <c r="AE4" s="202">
        <f>'Reference Case'!AE52</f>
        <v>-3360375.1930501931</v>
      </c>
      <c r="AF4" s="202">
        <f>'Reference Case'!AR52</f>
        <v>-5330563.3764921166</v>
      </c>
      <c r="AG4" s="202">
        <f>'Reference Case'!AU52</f>
        <v>-7400857.6402871627</v>
      </c>
      <c r="AH4" s="202">
        <f>'Reference Case'!AX52</f>
        <v>-5474301.624628379</v>
      </c>
      <c r="AI4" s="202">
        <f>'Reference Case'!BA52</f>
        <v>-4212661.9073412167</v>
      </c>
      <c r="AJ4" s="202">
        <f>'Reference Case'!BD52</f>
        <v>931945.59861841192</v>
      </c>
      <c r="AK4" s="202">
        <f>'Reference Case'!BE52</f>
        <v>10038080.306978378</v>
      </c>
      <c r="AL4" s="202">
        <f>'Reference Case'!BF52</f>
        <v>43071374.391582467</v>
      </c>
      <c r="AM4" s="202">
        <f>'Reference Case'!BG52</f>
        <v>81079066.39343603</v>
      </c>
    </row>
    <row r="5" spans="28:39" x14ac:dyDescent="0.25">
      <c r="AB5" t="s">
        <v>159</v>
      </c>
      <c r="AC5" s="202" t="e">
        <f>'Reference Case'!#REF!</f>
        <v>#REF!</v>
      </c>
      <c r="AD5" s="202" t="e">
        <f>'Reference Case'!#REF!</f>
        <v>#REF!</v>
      </c>
      <c r="AE5" s="202" t="e">
        <f>'Reference Case'!#REF!</f>
        <v>#REF!</v>
      </c>
      <c r="AF5" s="202" t="e">
        <f>'Reference Case'!#REF!</f>
        <v>#REF!</v>
      </c>
      <c r="AG5" s="202" t="e">
        <f>'Reference Case'!#REF!</f>
        <v>#REF!</v>
      </c>
      <c r="AH5" s="202" t="e">
        <f>'Reference Case'!#REF!</f>
        <v>#REF!</v>
      </c>
      <c r="AI5" s="202" t="e">
        <f>'Reference Case'!#REF!</f>
        <v>#REF!</v>
      </c>
      <c r="AJ5" s="202" t="e">
        <f>'Reference Case'!#REF!</f>
        <v>#REF!</v>
      </c>
      <c r="AK5" s="202" t="e">
        <f>'Reference Case'!#REF!</f>
        <v>#REF!</v>
      </c>
      <c r="AL5" s="202" t="e">
        <f>'Reference Case'!#REF!</f>
        <v>#REF!</v>
      </c>
      <c r="AM5" s="202" t="e">
        <f>'Reference Case'!#REF!</f>
        <v>#REF!</v>
      </c>
    </row>
    <row r="6" spans="28:39" x14ac:dyDescent="0.25">
      <c r="AB6" t="s">
        <v>231</v>
      </c>
      <c r="AC6" s="202" t="e">
        <f>'Reference Case'!#REF!</f>
        <v>#REF!</v>
      </c>
      <c r="AD6" s="202" t="e">
        <f>'Reference Case'!#REF!</f>
        <v>#REF!</v>
      </c>
      <c r="AE6" s="202" t="e">
        <f>'Reference Case'!#REF!</f>
        <v>#REF!</v>
      </c>
      <c r="AF6" s="202" t="e">
        <f>'Reference Case'!#REF!</f>
        <v>#REF!</v>
      </c>
      <c r="AG6" s="202" t="e">
        <f>'Reference Case'!#REF!</f>
        <v>#REF!</v>
      </c>
      <c r="AH6" s="202" t="e">
        <f>'Reference Case'!#REF!</f>
        <v>#REF!</v>
      </c>
      <c r="AI6" s="202" t="e">
        <f>'Reference Case'!#REF!</f>
        <v>#REF!</v>
      </c>
      <c r="AJ6" s="202" t="e">
        <f>'Reference Case'!#REF!</f>
        <v>#REF!</v>
      </c>
      <c r="AK6" s="202" t="e">
        <f>'Reference Case'!#REF!</f>
        <v>#REF!</v>
      </c>
      <c r="AL6" s="202" t="e">
        <f>'Reference Case'!#REF!</f>
        <v>#REF!</v>
      </c>
      <c r="AM6" s="202" t="e">
        <f>'Reference Case'!#REF!</f>
        <v>#REF!</v>
      </c>
    </row>
    <row r="7" spans="28:39" x14ac:dyDescent="0.25">
      <c r="AB7" t="s">
        <v>232</v>
      </c>
      <c r="AC7" s="202" t="e">
        <f>'Reference Case'!#REF!</f>
        <v>#REF!</v>
      </c>
      <c r="AD7" s="202" t="e">
        <f>'Reference Case'!#REF!</f>
        <v>#REF!</v>
      </c>
      <c r="AE7" s="202">
        <f>'Reference Case'!AE4</f>
        <v>0</v>
      </c>
      <c r="AF7" s="202">
        <f>'Reference Case'!AR4</f>
        <v>3</v>
      </c>
      <c r="AG7" s="202">
        <f>'Reference Case'!AU4</f>
        <v>7</v>
      </c>
      <c r="AH7" s="202">
        <f>'Reference Case'!AX8</f>
        <v>12</v>
      </c>
      <c r="AI7" s="202">
        <f>'Reference Case'!BA8</f>
        <v>25</v>
      </c>
      <c r="AJ7" s="202">
        <f>'Reference Case'!BD8</f>
        <v>50</v>
      </c>
      <c r="AK7" s="202">
        <f>'Reference Case'!BE8</f>
        <v>75</v>
      </c>
      <c r="AL7" s="202">
        <f>'Reference Case'!BF8</f>
        <v>112.5</v>
      </c>
      <c r="AM7" s="202">
        <f>'Reference Case'!BG8</f>
        <v>168.75</v>
      </c>
    </row>
    <row r="8" spans="28:39" x14ac:dyDescent="0.25">
      <c r="AB8" t="s">
        <v>233</v>
      </c>
      <c r="AC8" s="202" t="e">
        <f>'Reference Case'!#REF!</f>
        <v>#REF!</v>
      </c>
      <c r="AD8" s="202" t="e">
        <f>'Reference Case'!#REF!</f>
        <v>#REF!</v>
      </c>
      <c r="AE8" s="202" t="e">
        <f>'Reference Case'!#REF!</f>
        <v>#REF!</v>
      </c>
      <c r="AF8" s="202">
        <f>'Reference Case'!AR21</f>
        <v>665000</v>
      </c>
      <c r="AG8" s="202">
        <f>'Reference Case'!AU21</f>
        <v>339450</v>
      </c>
      <c r="AH8" s="202">
        <f>'Reference Case'!AX25</f>
        <v>284700</v>
      </c>
      <c r="AI8" s="202">
        <f>'Reference Case'!BA25</f>
        <v>219000</v>
      </c>
      <c r="AJ8" s="202">
        <f>'Reference Case'!BD25</f>
        <v>175200</v>
      </c>
      <c r="AK8" s="202">
        <f>'Reference Case'!BE25</f>
        <v>153300.00000000003</v>
      </c>
      <c r="AL8" s="202">
        <f>'Reference Case'!BF25</f>
        <v>142350</v>
      </c>
      <c r="AM8" s="202">
        <f>'Reference Case'!BG25</f>
        <v>131400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E8FBE-0A77-40BB-8D52-5F286B4EBB93}">
  <sheetPr>
    <tabColor rgb="FFB5E5B7"/>
  </sheetPr>
  <dimension ref="A10:AD11"/>
  <sheetViews>
    <sheetView workbookViewId="0"/>
  </sheetViews>
  <sheetFormatPr defaultColWidth="8.875" defaultRowHeight="15.75" x14ac:dyDescent="0.25"/>
  <sheetData>
    <row r="10" spans="1:30" ht="18.75" x14ac:dyDescent="0.3">
      <c r="D10" s="361">
        <v>2024</v>
      </c>
      <c r="E10" s="322">
        <v>2025</v>
      </c>
      <c r="F10" s="322">
        <v>2026</v>
      </c>
      <c r="G10" s="323">
        <v>2027</v>
      </c>
      <c r="H10" s="322">
        <v>2028</v>
      </c>
      <c r="I10" s="322">
        <v>2029</v>
      </c>
      <c r="J10" s="378">
        <v>2030</v>
      </c>
      <c r="K10" s="322">
        <v>2031</v>
      </c>
      <c r="L10" s="322">
        <v>2032</v>
      </c>
      <c r="M10" s="322">
        <v>2033</v>
      </c>
      <c r="N10" s="322">
        <v>2034</v>
      </c>
      <c r="O10" s="322">
        <v>2035</v>
      </c>
      <c r="P10" s="322">
        <v>2036</v>
      </c>
      <c r="Q10" s="322">
        <v>2037</v>
      </c>
      <c r="R10" s="322">
        <v>2038</v>
      </c>
      <c r="S10" s="322">
        <v>2039</v>
      </c>
      <c r="T10" s="322">
        <v>2040</v>
      </c>
      <c r="U10" s="322">
        <v>2041</v>
      </c>
      <c r="V10" s="322">
        <v>2042</v>
      </c>
      <c r="W10" s="322">
        <v>2043</v>
      </c>
      <c r="X10" s="322">
        <v>2044</v>
      </c>
      <c r="Y10" s="322">
        <v>2045</v>
      </c>
      <c r="Z10" s="322">
        <v>2046</v>
      </c>
      <c r="AA10" s="322">
        <v>2047</v>
      </c>
      <c r="AB10" s="322">
        <v>2048</v>
      </c>
      <c r="AC10" s="322">
        <v>2049</v>
      </c>
      <c r="AD10" s="322">
        <v>2050</v>
      </c>
    </row>
    <row r="11" spans="1:30" x14ac:dyDescent="0.25">
      <c r="A11" t="s">
        <v>340</v>
      </c>
      <c r="G11" s="330">
        <v>3</v>
      </c>
      <c r="H11" s="22">
        <v>7</v>
      </c>
      <c r="I11" s="22">
        <v>12</v>
      </c>
      <c r="J11" s="23">
        <v>25</v>
      </c>
      <c r="K11" s="28">
        <v>50</v>
      </c>
      <c r="L11" s="22">
        <v>75</v>
      </c>
      <c r="M11" s="28">
        <v>113</v>
      </c>
      <c r="N11" s="28">
        <v>169</v>
      </c>
      <c r="O11">
        <f>ROUND(N11*1.2,0)</f>
        <v>203</v>
      </c>
      <c r="P11">
        <f t="shared" ref="P11:AD11" si="0">ROUND(O11*1.2,0)</f>
        <v>244</v>
      </c>
      <c r="Q11">
        <f t="shared" si="0"/>
        <v>293</v>
      </c>
      <c r="R11">
        <f t="shared" si="0"/>
        <v>352</v>
      </c>
      <c r="S11">
        <f t="shared" si="0"/>
        <v>422</v>
      </c>
      <c r="T11">
        <f t="shared" si="0"/>
        <v>506</v>
      </c>
      <c r="U11">
        <f t="shared" si="0"/>
        <v>607</v>
      </c>
      <c r="V11">
        <f t="shared" si="0"/>
        <v>728</v>
      </c>
      <c r="W11">
        <f t="shared" si="0"/>
        <v>874</v>
      </c>
      <c r="X11">
        <f t="shared" si="0"/>
        <v>1049</v>
      </c>
      <c r="Y11">
        <f t="shared" si="0"/>
        <v>1259</v>
      </c>
      <c r="Z11">
        <f t="shared" si="0"/>
        <v>1511</v>
      </c>
      <c r="AA11">
        <f t="shared" si="0"/>
        <v>1813</v>
      </c>
      <c r="AB11">
        <f t="shared" si="0"/>
        <v>2176</v>
      </c>
      <c r="AC11">
        <f t="shared" si="0"/>
        <v>2611</v>
      </c>
      <c r="AD11">
        <f t="shared" si="0"/>
        <v>3133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AA53-935A-4647-B6E4-F2B5E885C0C1}">
  <sheetPr codeName="Sheet7">
    <tabColor rgb="FFB5E5B7"/>
  </sheetPr>
  <dimension ref="B2:BQ68"/>
  <sheetViews>
    <sheetView workbookViewId="0"/>
  </sheetViews>
  <sheetFormatPr defaultColWidth="9" defaultRowHeight="15.75" outlineLevelCol="1" x14ac:dyDescent="0.25"/>
  <cols>
    <col min="1" max="1" width="3.375" customWidth="1"/>
    <col min="2" max="2" width="17.125" customWidth="1"/>
    <col min="3" max="3" width="22.625" customWidth="1"/>
    <col min="4" max="4" width="46.125" customWidth="1"/>
    <col min="5" max="5" width="13.625" customWidth="1"/>
    <col min="6" max="16" width="14" style="179" hidden="1" customWidth="1" outlineLevel="1"/>
    <col min="17" max="17" width="12.875" style="179" hidden="1" customWidth="1" outlineLevel="1"/>
    <col min="18" max="18" width="12.375" customWidth="1" collapsed="1"/>
    <col min="19" max="30" width="14" style="179" hidden="1" customWidth="1" outlineLevel="1"/>
    <col min="31" max="31" width="13.875" customWidth="1" collapsed="1"/>
    <col min="32" max="42" width="14" style="179" hidden="1" customWidth="1" outlineLevel="1"/>
    <col min="43" max="43" width="2" style="179" hidden="1" customWidth="1" outlineLevel="1"/>
    <col min="44" max="44" width="14.125" customWidth="1" collapsed="1"/>
    <col min="45" max="45" width="13.125" style="179" hidden="1" customWidth="1" outlineLevel="1"/>
    <col min="46" max="46" width="15.125" style="179" hidden="1" customWidth="1" outlineLevel="1"/>
    <col min="47" max="47" width="12.875" customWidth="1" collapsed="1"/>
    <col min="48" max="48" width="14.125" style="179" customWidth="1" outlineLevel="1"/>
    <col min="49" max="49" width="15.875" style="179" customWidth="1" outlineLevel="1"/>
    <col min="50" max="50" width="13.625" customWidth="1"/>
    <col min="51" max="52" width="14.125" style="179" hidden="1" customWidth="1" outlineLevel="1"/>
    <col min="53" max="53" width="12.625" customWidth="1" collapsed="1"/>
    <col min="54" max="55" width="14.125" style="179" hidden="1" customWidth="1" outlineLevel="1"/>
    <col min="56" max="56" width="13.375" customWidth="1" collapsed="1"/>
    <col min="57" max="57" width="13.625" customWidth="1"/>
    <col min="58" max="58" width="14.125" bestFit="1" customWidth="1"/>
    <col min="59" max="59" width="14.625" customWidth="1"/>
    <col min="60" max="60" width="9" customWidth="1"/>
    <col min="61" max="61" width="17.125" customWidth="1"/>
    <col min="62" max="69" width="9" customWidth="1"/>
  </cols>
  <sheetData>
    <row r="2" spans="2:69" ht="18.75" x14ac:dyDescent="0.3">
      <c r="B2" s="276" t="s">
        <v>237</v>
      </c>
      <c r="C2" s="276" t="s">
        <v>236</v>
      </c>
      <c r="D2" s="276" t="s">
        <v>255</v>
      </c>
      <c r="E2" s="8" t="s">
        <v>152</v>
      </c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8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8"/>
      <c r="AF2" s="180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9" t="s">
        <v>153</v>
      </c>
      <c r="AS2" s="169"/>
      <c r="AT2" s="169"/>
      <c r="AX2" s="9" t="s">
        <v>154</v>
      </c>
      <c r="AY2" s="169"/>
      <c r="AZ2" s="169"/>
      <c r="BB2" s="169"/>
      <c r="BC2" s="169"/>
      <c r="BD2" s="9" t="s">
        <v>155</v>
      </c>
      <c r="BH2" s="10" t="s">
        <v>156</v>
      </c>
    </row>
    <row r="3" spans="2:69" x14ac:dyDescent="0.25">
      <c r="D3" s="11"/>
      <c r="E3" s="160">
        <v>2024</v>
      </c>
      <c r="F3" s="182">
        <v>1</v>
      </c>
      <c r="G3" s="182">
        <v>2</v>
      </c>
      <c r="H3" s="182">
        <v>3</v>
      </c>
      <c r="I3" s="182">
        <v>4</v>
      </c>
      <c r="J3" s="182">
        <v>5</v>
      </c>
      <c r="K3" s="182">
        <v>6</v>
      </c>
      <c r="L3" s="182">
        <v>7</v>
      </c>
      <c r="M3" s="182">
        <v>8</v>
      </c>
      <c r="N3" s="182">
        <v>9</v>
      </c>
      <c r="O3" s="182">
        <v>10</v>
      </c>
      <c r="P3" s="182">
        <v>11</v>
      </c>
      <c r="Q3" s="182">
        <v>12</v>
      </c>
      <c r="R3" s="160">
        <v>2025</v>
      </c>
      <c r="S3" s="182">
        <v>1</v>
      </c>
      <c r="T3" s="182">
        <v>2</v>
      </c>
      <c r="U3" s="182">
        <v>3</v>
      </c>
      <c r="V3" s="182">
        <v>4</v>
      </c>
      <c r="W3" s="182">
        <v>5</v>
      </c>
      <c r="X3" s="182">
        <v>6</v>
      </c>
      <c r="Y3" s="182">
        <v>7</v>
      </c>
      <c r="Z3" s="182">
        <v>8</v>
      </c>
      <c r="AA3" s="182">
        <v>9</v>
      </c>
      <c r="AB3" s="182">
        <v>10</v>
      </c>
      <c r="AC3" s="182">
        <v>11</v>
      </c>
      <c r="AD3" s="182">
        <v>12</v>
      </c>
      <c r="AE3" s="161">
        <v>2026</v>
      </c>
      <c r="AF3" s="181">
        <v>1</v>
      </c>
      <c r="AG3" s="182">
        <v>2</v>
      </c>
      <c r="AH3" s="182">
        <v>3</v>
      </c>
      <c r="AI3" s="182">
        <v>4</v>
      </c>
      <c r="AJ3" s="182">
        <v>5</v>
      </c>
      <c r="AK3" s="182">
        <v>6</v>
      </c>
      <c r="AL3" s="182">
        <v>7</v>
      </c>
      <c r="AM3" s="182">
        <v>8</v>
      </c>
      <c r="AN3" s="182">
        <v>9</v>
      </c>
      <c r="AO3" s="182">
        <v>10</v>
      </c>
      <c r="AP3" s="182">
        <v>11</v>
      </c>
      <c r="AQ3" s="182">
        <v>12</v>
      </c>
      <c r="AR3" s="162">
        <v>2027</v>
      </c>
      <c r="AS3" s="170" t="s">
        <v>157</v>
      </c>
      <c r="AT3" s="170" t="s">
        <v>158</v>
      </c>
      <c r="AU3" s="161">
        <v>2028</v>
      </c>
      <c r="AV3" s="170" t="s">
        <v>157</v>
      </c>
      <c r="AW3" s="170" t="s">
        <v>158</v>
      </c>
      <c r="AX3" s="162">
        <v>2029</v>
      </c>
      <c r="AY3" s="170" t="s">
        <v>157</v>
      </c>
      <c r="AZ3" s="170" t="s">
        <v>158</v>
      </c>
      <c r="BA3" s="161">
        <v>2030</v>
      </c>
      <c r="BB3" s="170" t="s">
        <v>157</v>
      </c>
      <c r="BC3" s="170" t="s">
        <v>158</v>
      </c>
      <c r="BD3" s="162">
        <v>2031</v>
      </c>
      <c r="BE3" s="161">
        <v>2032</v>
      </c>
      <c r="BF3" s="161">
        <v>2033</v>
      </c>
      <c r="BG3" s="160">
        <v>2034</v>
      </c>
    </row>
    <row r="4" spans="2:69" x14ac:dyDescent="0.25">
      <c r="B4" t="s">
        <v>238</v>
      </c>
      <c r="C4" t="s">
        <v>247</v>
      </c>
      <c r="D4" s="238" t="s">
        <v>235</v>
      </c>
      <c r="E4" s="22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22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22"/>
      <c r="AF4" s="189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23">
        <v>3</v>
      </c>
      <c r="AS4" s="175">
        <v>1</v>
      </c>
      <c r="AT4" s="175">
        <v>2</v>
      </c>
      <c r="AU4" s="22">
        <v>7</v>
      </c>
      <c r="AV4" s="175">
        <v>3</v>
      </c>
      <c r="AW4" s="175">
        <v>4</v>
      </c>
      <c r="AX4" s="52"/>
      <c r="BD4" s="52"/>
    </row>
    <row r="5" spans="2:69" x14ac:dyDescent="0.25">
      <c r="B5" t="s">
        <v>238</v>
      </c>
      <c r="C5" t="s">
        <v>247</v>
      </c>
      <c r="D5" s="157" t="s">
        <v>260</v>
      </c>
      <c r="E5" s="22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22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22"/>
      <c r="AF5" s="189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23"/>
      <c r="AS5" s="285">
        <v>0.25</v>
      </c>
      <c r="AT5" s="285">
        <v>0.5</v>
      </c>
      <c r="AU5" s="22"/>
      <c r="AV5" s="285">
        <v>1</v>
      </c>
      <c r="AW5" s="285">
        <v>1</v>
      </c>
      <c r="AX5" s="52"/>
      <c r="AY5" s="286"/>
      <c r="AZ5" s="286"/>
      <c r="BD5" s="52"/>
    </row>
    <row r="6" spans="2:69" x14ac:dyDescent="0.25">
      <c r="B6" t="s">
        <v>238</v>
      </c>
      <c r="C6" t="s">
        <v>247</v>
      </c>
      <c r="D6" s="157" t="s">
        <v>259</v>
      </c>
      <c r="E6" s="22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22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22"/>
      <c r="AF6" s="189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23"/>
      <c r="AS6" s="185">
        <f>('TEA values'!$C$17-('TEA values'!$C$25+'TEA values'!$C$26))</f>
        <v>0.28000000000000003</v>
      </c>
      <c r="AT6" s="185">
        <f>('TEA values'!$C$17-('TEA values'!$C$25+'TEA values'!$C$26))</f>
        <v>0.28000000000000003</v>
      </c>
      <c r="AU6" s="22"/>
      <c r="AV6" s="185">
        <f>('TEA values'!$C$17-('TEA values'!$C$25+'TEA values'!$C$26))</f>
        <v>0.28000000000000003</v>
      </c>
      <c r="AW6" s="185">
        <f>('TEA values'!$C$17-('TEA values'!$C$25+'TEA values'!$C$26))</f>
        <v>0.28000000000000003</v>
      </c>
      <c r="AX6" s="52"/>
      <c r="BD6" s="52"/>
    </row>
    <row r="7" spans="2:69" x14ac:dyDescent="0.25">
      <c r="B7" t="s">
        <v>238</v>
      </c>
      <c r="C7" t="s">
        <v>247</v>
      </c>
      <c r="D7" s="157" t="s">
        <v>261</v>
      </c>
      <c r="E7" s="22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22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22"/>
      <c r="AF7" s="189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23"/>
      <c r="AS7" s="287">
        <f>150*365*0.9</f>
        <v>49275</v>
      </c>
      <c r="AT7" s="287">
        <f>150*365*0.9</f>
        <v>49275</v>
      </c>
      <c r="AU7" s="22"/>
      <c r="AV7" s="287">
        <f>150*365*0.9</f>
        <v>49275</v>
      </c>
      <c r="AW7" s="287">
        <f>150*365*0.9</f>
        <v>49275</v>
      </c>
      <c r="AX7" s="52"/>
      <c r="BD7" s="52"/>
    </row>
    <row r="8" spans="2:69" x14ac:dyDescent="0.25">
      <c r="B8" t="s">
        <v>239</v>
      </c>
      <c r="C8" t="s">
        <v>247</v>
      </c>
      <c r="D8" s="157" t="s">
        <v>234</v>
      </c>
      <c r="E8" s="23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22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22"/>
      <c r="AF8" s="189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5"/>
      <c r="AS8" s="174"/>
      <c r="AT8" s="174"/>
      <c r="AU8" s="14"/>
      <c r="AV8" s="174"/>
      <c r="AW8" s="174"/>
      <c r="AX8" s="23">
        <f>AY8+AZ8</f>
        <v>12</v>
      </c>
      <c r="AY8" s="175">
        <v>5</v>
      </c>
      <c r="AZ8" s="175">
        <v>7</v>
      </c>
      <c r="BA8" s="22">
        <v>25</v>
      </c>
      <c r="BB8" s="175">
        <v>10</v>
      </c>
      <c r="BC8" s="175">
        <v>15</v>
      </c>
      <c r="BD8" s="53">
        <v>50</v>
      </c>
      <c r="BE8" s="22">
        <f>BD8*1.5</f>
        <v>75</v>
      </c>
      <c r="BF8" s="28">
        <f>BE8*1.5</f>
        <v>112.5</v>
      </c>
      <c r="BG8" s="28">
        <f>BF8*1.5</f>
        <v>168.75</v>
      </c>
    </row>
    <row r="9" spans="2:69" x14ac:dyDescent="0.25">
      <c r="B9" t="s">
        <v>239</v>
      </c>
      <c r="C9" t="s">
        <v>247</v>
      </c>
      <c r="D9" s="157" t="s">
        <v>258</v>
      </c>
      <c r="E9" s="20">
        <v>300000</v>
      </c>
      <c r="F9" s="20">
        <v>300000</v>
      </c>
      <c r="G9" s="20">
        <v>300000</v>
      </c>
      <c r="H9" s="20">
        <v>300000</v>
      </c>
      <c r="I9" s="20">
        <v>300000</v>
      </c>
      <c r="J9" s="20">
        <v>300000</v>
      </c>
      <c r="K9" s="20">
        <v>300000</v>
      </c>
      <c r="L9" s="20">
        <v>300000</v>
      </c>
      <c r="M9" s="20">
        <v>300000</v>
      </c>
      <c r="N9" s="20">
        <v>300000</v>
      </c>
      <c r="O9" s="20">
        <v>300000</v>
      </c>
      <c r="P9" s="20">
        <v>300000</v>
      </c>
      <c r="Q9" s="20">
        <v>300000</v>
      </c>
      <c r="R9" s="20">
        <v>300000</v>
      </c>
      <c r="S9" s="20">
        <v>300000</v>
      </c>
      <c r="T9" s="20">
        <v>300000</v>
      </c>
      <c r="U9" s="20">
        <v>300000</v>
      </c>
      <c r="V9" s="20">
        <v>300000</v>
      </c>
      <c r="W9" s="20">
        <v>300000</v>
      </c>
      <c r="X9" s="20">
        <v>300000</v>
      </c>
      <c r="Y9" s="20">
        <v>300000</v>
      </c>
      <c r="Z9" s="20">
        <v>300000</v>
      </c>
      <c r="AA9" s="20">
        <v>300000</v>
      </c>
      <c r="AB9" s="20">
        <v>300000</v>
      </c>
      <c r="AC9" s="20">
        <v>300000</v>
      </c>
      <c r="AD9" s="20">
        <v>300000</v>
      </c>
      <c r="AE9" s="20">
        <v>300000</v>
      </c>
      <c r="AF9" s="20">
        <v>300000</v>
      </c>
      <c r="AG9" s="20">
        <v>300000</v>
      </c>
      <c r="AH9" s="20">
        <v>300000</v>
      </c>
      <c r="AI9" s="20">
        <v>300000</v>
      </c>
      <c r="AJ9" s="20">
        <v>300000</v>
      </c>
      <c r="AK9" s="20">
        <v>300000</v>
      </c>
      <c r="AL9" s="20">
        <v>300000</v>
      </c>
      <c r="AM9" s="20">
        <v>300000</v>
      </c>
      <c r="AN9" s="20">
        <v>300000</v>
      </c>
      <c r="AO9" s="20">
        <v>300000</v>
      </c>
      <c r="AP9" s="20">
        <v>300000</v>
      </c>
      <c r="AQ9" s="20">
        <v>300000</v>
      </c>
      <c r="AR9" s="20">
        <v>300000</v>
      </c>
      <c r="AS9" s="20">
        <v>300000</v>
      </c>
      <c r="AT9" s="20">
        <v>300000</v>
      </c>
      <c r="AU9" s="20">
        <v>300000</v>
      </c>
      <c r="AV9" s="20">
        <v>300000</v>
      </c>
      <c r="AW9" s="20">
        <v>300000</v>
      </c>
      <c r="AX9" s="20">
        <v>300000</v>
      </c>
      <c r="AY9" s="20">
        <v>300000</v>
      </c>
      <c r="AZ9" s="20">
        <v>300000</v>
      </c>
      <c r="BA9" s="20">
        <v>300000</v>
      </c>
      <c r="BB9" s="20">
        <v>300000</v>
      </c>
      <c r="BC9" s="20">
        <v>300000</v>
      </c>
      <c r="BD9" s="20">
        <v>300000</v>
      </c>
      <c r="BE9" s="20">
        <v>300000</v>
      </c>
      <c r="BF9" s="20">
        <v>300000</v>
      </c>
      <c r="BG9" s="20">
        <v>300000</v>
      </c>
    </row>
    <row r="10" spans="2:69" x14ac:dyDescent="0.25">
      <c r="B10" t="s">
        <v>239</v>
      </c>
      <c r="C10" t="s">
        <v>247</v>
      </c>
      <c r="D10" s="157" t="s">
        <v>262</v>
      </c>
      <c r="E10" s="20">
        <v>5000</v>
      </c>
      <c r="F10" s="20">
        <v>5000</v>
      </c>
      <c r="G10" s="20">
        <v>5000</v>
      </c>
      <c r="H10" s="20">
        <v>5000</v>
      </c>
      <c r="I10" s="20">
        <v>5000</v>
      </c>
      <c r="J10" s="20">
        <v>5000</v>
      </c>
      <c r="K10" s="20">
        <v>5000</v>
      </c>
      <c r="L10" s="20">
        <v>5000</v>
      </c>
      <c r="M10" s="20">
        <v>5000</v>
      </c>
      <c r="N10" s="20">
        <v>5000</v>
      </c>
      <c r="O10" s="20">
        <v>5000</v>
      </c>
      <c r="P10" s="20">
        <v>5000</v>
      </c>
      <c r="Q10" s="20">
        <v>5000</v>
      </c>
      <c r="R10" s="20">
        <v>5000</v>
      </c>
      <c r="S10" s="20">
        <v>5000</v>
      </c>
      <c r="T10" s="20">
        <v>5000</v>
      </c>
      <c r="U10" s="20">
        <v>5000</v>
      </c>
      <c r="V10" s="20">
        <v>5000</v>
      </c>
      <c r="W10" s="20">
        <v>5000</v>
      </c>
      <c r="X10" s="20">
        <v>5000</v>
      </c>
      <c r="Y10" s="20">
        <v>5000</v>
      </c>
      <c r="Z10" s="20">
        <v>5000</v>
      </c>
      <c r="AA10" s="20">
        <v>5000</v>
      </c>
      <c r="AB10" s="20">
        <v>5000</v>
      </c>
      <c r="AC10" s="20">
        <v>5000</v>
      </c>
      <c r="AD10" s="20">
        <v>5000</v>
      </c>
      <c r="AE10" s="20">
        <v>5000</v>
      </c>
      <c r="AF10" s="20">
        <v>5000</v>
      </c>
      <c r="AG10" s="20">
        <v>5000</v>
      </c>
      <c r="AH10" s="20">
        <v>5000</v>
      </c>
      <c r="AI10" s="20">
        <v>5000</v>
      </c>
      <c r="AJ10" s="20">
        <v>5000</v>
      </c>
      <c r="AK10" s="20">
        <v>5000</v>
      </c>
      <c r="AL10" s="20">
        <v>5000</v>
      </c>
      <c r="AM10" s="20">
        <v>5000</v>
      </c>
      <c r="AN10" s="20">
        <v>5000</v>
      </c>
      <c r="AO10" s="20">
        <v>5000</v>
      </c>
      <c r="AP10" s="20">
        <v>5000</v>
      </c>
      <c r="AQ10" s="20">
        <v>5000</v>
      </c>
      <c r="AR10" s="20">
        <v>5000</v>
      </c>
      <c r="AS10" s="20">
        <v>5000</v>
      </c>
      <c r="AT10" s="20">
        <v>5000</v>
      </c>
      <c r="AU10" s="20">
        <v>5000</v>
      </c>
      <c r="AV10" s="20">
        <v>5000</v>
      </c>
      <c r="AW10" s="20">
        <v>5000</v>
      </c>
      <c r="AX10" s="20">
        <v>5000</v>
      </c>
      <c r="AY10" s="20">
        <v>5000</v>
      </c>
      <c r="AZ10" s="20">
        <v>5000</v>
      </c>
      <c r="BA10" s="20">
        <v>5000</v>
      </c>
      <c r="BB10" s="20">
        <v>5000</v>
      </c>
      <c r="BC10" s="20">
        <v>5000</v>
      </c>
      <c r="BD10" s="20">
        <v>5000</v>
      </c>
      <c r="BE10" s="20">
        <v>5000</v>
      </c>
      <c r="BF10" s="20">
        <v>5000</v>
      </c>
      <c r="BG10" s="20">
        <v>5000</v>
      </c>
    </row>
    <row r="11" spans="2:69" x14ac:dyDescent="0.25">
      <c r="B11" t="s">
        <v>240</v>
      </c>
      <c r="C11" t="s">
        <v>247</v>
      </c>
      <c r="D11" s="239" t="s">
        <v>257</v>
      </c>
      <c r="E11" s="52"/>
      <c r="AE11" s="22"/>
      <c r="AF11" s="190"/>
      <c r="AR11" s="23"/>
      <c r="AS11" s="175"/>
      <c r="AT11" s="175"/>
      <c r="AU11" s="22"/>
      <c r="AV11" s="175"/>
      <c r="AW11" s="175"/>
      <c r="AX11" s="23"/>
      <c r="AY11" s="175"/>
      <c r="AZ11" s="175"/>
      <c r="BA11" s="22">
        <v>3</v>
      </c>
      <c r="BB11" s="175">
        <v>1</v>
      </c>
      <c r="BC11" s="175">
        <v>2</v>
      </c>
      <c r="BD11" s="53">
        <v>10</v>
      </c>
      <c r="BE11" s="22">
        <v>25</v>
      </c>
      <c r="BF11" s="28">
        <v>45</v>
      </c>
      <c r="BG11" s="22">
        <v>65</v>
      </c>
      <c r="BH11" t="s">
        <v>176</v>
      </c>
    </row>
    <row r="12" spans="2:69" x14ac:dyDescent="0.25">
      <c r="B12" t="s">
        <v>240</v>
      </c>
      <c r="C12" t="s">
        <v>247</v>
      </c>
      <c r="D12" s="239" t="s">
        <v>256</v>
      </c>
      <c r="E12" s="277"/>
      <c r="F12" s="278"/>
      <c r="G12" s="278"/>
      <c r="H12" s="278"/>
      <c r="I12" s="278"/>
      <c r="J12" s="278"/>
      <c r="K12" s="278"/>
      <c r="L12" s="278"/>
      <c r="M12" s="278"/>
      <c r="N12" s="278"/>
      <c r="O12" s="278"/>
      <c r="P12" s="278"/>
      <c r="Q12" s="278"/>
      <c r="R12" s="279"/>
      <c r="S12" s="278"/>
      <c r="T12" s="278"/>
      <c r="U12" s="278"/>
      <c r="V12" s="278"/>
      <c r="W12" s="278"/>
      <c r="X12" s="278"/>
      <c r="Y12" s="278"/>
      <c r="Z12" s="278"/>
      <c r="AA12" s="278"/>
      <c r="AB12" s="278"/>
      <c r="AC12" s="278"/>
      <c r="AD12" s="278"/>
      <c r="AE12" s="280"/>
      <c r="AF12" s="281"/>
      <c r="AG12" s="278"/>
      <c r="AH12" s="278"/>
      <c r="AI12" s="278"/>
      <c r="AJ12" s="278"/>
      <c r="AK12" s="278"/>
      <c r="AL12" s="278"/>
      <c r="AM12" s="278"/>
      <c r="AN12" s="278"/>
      <c r="AO12" s="278"/>
      <c r="AP12" s="278"/>
      <c r="AQ12" s="278"/>
      <c r="AR12" s="282"/>
      <c r="AS12" s="283"/>
      <c r="AT12" s="283"/>
      <c r="AU12" s="280"/>
      <c r="AV12" s="283"/>
      <c r="AW12" s="283"/>
      <c r="AX12" s="282"/>
      <c r="AY12" s="283"/>
      <c r="AZ12" s="283"/>
      <c r="BA12" s="284">
        <v>1800000</v>
      </c>
      <c r="BB12" s="171">
        <v>1800000</v>
      </c>
      <c r="BC12" s="171">
        <v>1800000</v>
      </c>
      <c r="BD12" s="284">
        <v>1800000</v>
      </c>
      <c r="BE12" s="284">
        <v>1800000</v>
      </c>
      <c r="BF12" s="284">
        <v>1800000</v>
      </c>
      <c r="BG12" s="284">
        <v>1800000</v>
      </c>
    </row>
    <row r="13" spans="2:69" x14ac:dyDescent="0.25">
      <c r="B13" t="s">
        <v>241</v>
      </c>
      <c r="C13" t="s">
        <v>247</v>
      </c>
      <c r="D13" s="239" t="s">
        <v>248</v>
      </c>
      <c r="E13" s="52"/>
      <c r="AE13" s="22"/>
      <c r="AF13" s="190"/>
      <c r="AR13" s="23"/>
      <c r="AS13" s="175"/>
      <c r="AT13" s="175"/>
      <c r="AU13" s="22"/>
      <c r="AV13" s="175"/>
      <c r="AW13" s="175"/>
      <c r="AX13" s="23"/>
      <c r="AY13" s="175"/>
      <c r="AZ13" s="175"/>
      <c r="BA13" s="22"/>
      <c r="BB13" s="175"/>
      <c r="BC13" s="175"/>
      <c r="BD13" s="53"/>
      <c r="BE13" s="22"/>
      <c r="BF13" s="28"/>
      <c r="BG13" s="22"/>
    </row>
    <row r="14" spans="2:69" s="272" customFormat="1" x14ac:dyDescent="0.25">
      <c r="B14" t="s">
        <v>241</v>
      </c>
      <c r="C14" t="s">
        <v>247</v>
      </c>
      <c r="D14" s="271" t="s">
        <v>182</v>
      </c>
      <c r="E14" s="268">
        <v>6.5</v>
      </c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70">
        <v>9</v>
      </c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70">
        <v>12</v>
      </c>
      <c r="AF14" s="196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53">
        <v>14</v>
      </c>
      <c r="AS14" s="197">
        <v>13</v>
      </c>
      <c r="AT14" s="197">
        <v>14</v>
      </c>
      <c r="AU14" s="28">
        <v>16</v>
      </c>
      <c r="AV14" s="197">
        <v>15</v>
      </c>
      <c r="AW14" s="197">
        <v>16</v>
      </c>
      <c r="AX14" s="53">
        <v>17</v>
      </c>
      <c r="AY14" s="197">
        <v>16</v>
      </c>
      <c r="AZ14" s="197">
        <v>17</v>
      </c>
      <c r="BA14" s="28">
        <v>18</v>
      </c>
      <c r="BB14" s="197">
        <v>17</v>
      </c>
      <c r="BC14" s="197">
        <v>18</v>
      </c>
      <c r="BD14" s="53">
        <v>19</v>
      </c>
      <c r="BE14" s="28">
        <v>20</v>
      </c>
      <c r="BF14" s="28">
        <v>20</v>
      </c>
      <c r="BG14" s="28">
        <v>20</v>
      </c>
      <c r="BH14" s="272" t="s">
        <v>183</v>
      </c>
    </row>
    <row r="15" spans="2:69" x14ac:dyDescent="0.25">
      <c r="B15" t="s">
        <v>241</v>
      </c>
      <c r="C15" t="s">
        <v>247</v>
      </c>
      <c r="D15" s="157" t="s">
        <v>188</v>
      </c>
      <c r="E15" s="53">
        <v>2.5</v>
      </c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22">
        <v>4</v>
      </c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22">
        <v>5</v>
      </c>
      <c r="AF15" s="196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23">
        <v>7</v>
      </c>
      <c r="AS15" s="175">
        <v>6</v>
      </c>
      <c r="AT15" s="175">
        <v>7</v>
      </c>
      <c r="AU15" s="22">
        <v>10</v>
      </c>
      <c r="AV15" s="175">
        <v>8</v>
      </c>
      <c r="AW15" s="175">
        <v>10</v>
      </c>
      <c r="AX15" s="53">
        <v>15</v>
      </c>
      <c r="AY15" s="197">
        <v>12</v>
      </c>
      <c r="AZ15" s="197">
        <v>15</v>
      </c>
      <c r="BA15" s="28">
        <f>AX15*1.25</f>
        <v>18.75</v>
      </c>
      <c r="BB15" s="197">
        <v>17</v>
      </c>
      <c r="BC15" s="197">
        <v>19</v>
      </c>
      <c r="BD15" s="53">
        <f>BA15*1.25</f>
        <v>23.4375</v>
      </c>
      <c r="BE15" s="28">
        <f t="shared" ref="BE15:BG15" si="0">BD15*1.25</f>
        <v>29.296875</v>
      </c>
      <c r="BF15" s="28">
        <f t="shared" si="0"/>
        <v>36.62109375</v>
      </c>
      <c r="BG15" s="28">
        <f t="shared" si="0"/>
        <v>45.7763671875</v>
      </c>
      <c r="BH15" t="s">
        <v>189</v>
      </c>
      <c r="BQ15" s="202"/>
    </row>
    <row r="16" spans="2:69" x14ac:dyDescent="0.25">
      <c r="B16" t="s">
        <v>238</v>
      </c>
      <c r="C16" t="s">
        <v>159</v>
      </c>
      <c r="D16" s="154" t="s">
        <v>160</v>
      </c>
      <c r="E16" s="20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20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20"/>
      <c r="AF16" s="183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21">
        <f>AS16+AT16</f>
        <v>17246.250000000004</v>
      </c>
      <c r="AS16" s="171">
        <f>AS4*AS5*AS6*AS7</f>
        <v>3449.2500000000005</v>
      </c>
      <c r="AT16" s="171">
        <f>1*150*365*0.9*('TEA values'!C17-('TEA values'!C25+'TEA values'!C26))</f>
        <v>13797.000000000002</v>
      </c>
      <c r="AU16" s="20">
        <f>AV16+AW16</f>
        <v>96579.000000000015</v>
      </c>
      <c r="AV16" s="171">
        <f>AV4*AV5*AV6*AV7</f>
        <v>41391.000000000007</v>
      </c>
      <c r="AW16" s="171">
        <f>AW4*AW5*AW6*AW7</f>
        <v>55188.000000000007</v>
      </c>
      <c r="AX16" s="32">
        <f>10*150*365*0.9*('TEA values'!C17-('TEA values'!C25+'TEA values'!C26))</f>
        <v>137970</v>
      </c>
      <c r="AY16" s="185">
        <f>10*150*365*0.9*('TEA values'!C17-('TEA values'!C25+'TEA values'!C26))*0.5</f>
        <v>68985</v>
      </c>
      <c r="AZ16" s="185">
        <f>10*150*365*0.9*('TEA values'!C17-('TEA values'!C25+'TEA values'!C26))*0.5</f>
        <v>68985</v>
      </c>
      <c r="BA16" s="20">
        <f>10*150*365*0.9*('TEA values'!C17-('TEA values'!C25+'TEA values'!C26))</f>
        <v>137970</v>
      </c>
      <c r="BB16" s="185">
        <f>10*150*365*0.9*('TEA values'!F17-('TEA values'!F25+'TEA values'!F26))*0.5</f>
        <v>73912.500000000015</v>
      </c>
      <c r="BC16" s="185">
        <f>10*150*365*0.9*('TEA values'!F17-('TEA values'!F25+'TEA values'!F26))*0.5</f>
        <v>73912.500000000015</v>
      </c>
      <c r="BD16" s="21">
        <f>10*150*365*0.9*('TEA values'!C17-('TEA values'!C25+'TEA values'!C26))</f>
        <v>137970</v>
      </c>
      <c r="BE16" s="20">
        <f>10*150*365*0.9*('TEA values'!C17-('TEA values'!C25+'TEA values'!C26))</f>
        <v>137970</v>
      </c>
      <c r="BF16" s="20">
        <f>10*150*365*0.9*('TEA values'!C17-('TEA values'!C25+'TEA values'!C26))</f>
        <v>137970</v>
      </c>
      <c r="BG16" s="20">
        <f>10*150*365*0.9*('TEA values'!C17-('TEA values'!C25+'TEA values'!C26))</f>
        <v>137970</v>
      </c>
      <c r="BH16" t="s">
        <v>161</v>
      </c>
    </row>
    <row r="17" spans="2:60" x14ac:dyDescent="0.25">
      <c r="B17" t="s">
        <v>239</v>
      </c>
      <c r="C17" t="s">
        <v>159</v>
      </c>
      <c r="D17" s="154" t="s">
        <v>162</v>
      </c>
      <c r="E17" s="19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9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20"/>
      <c r="AF17" s="184"/>
      <c r="AG17" s="185"/>
      <c r="AH17" s="185"/>
      <c r="AI17" s="185"/>
      <c r="AJ17" s="185"/>
      <c r="AK17" s="185"/>
      <c r="AL17" s="185"/>
      <c r="AM17" s="185"/>
      <c r="AN17" s="185"/>
      <c r="AO17" s="185"/>
      <c r="AP17" s="185"/>
      <c r="AQ17" s="185"/>
      <c r="AR17" s="21"/>
      <c r="AS17" s="171"/>
      <c r="AT17" s="171"/>
      <c r="AU17" s="20"/>
      <c r="AV17" s="171"/>
      <c r="AW17" s="171"/>
      <c r="AX17" s="21">
        <f>AY17+AZ17</f>
        <v>3600000</v>
      </c>
      <c r="AY17" s="171">
        <f>AY8*AY9</f>
        <v>1500000</v>
      </c>
      <c r="AZ17" s="171">
        <f>AZ8*AZ9</f>
        <v>2100000</v>
      </c>
      <c r="BA17" s="20">
        <f>BB17+BC17</f>
        <v>7500000</v>
      </c>
      <c r="BB17" s="171">
        <f t="shared" ref="BB17:BG17" si="1">BB8*BB9</f>
        <v>3000000</v>
      </c>
      <c r="BC17" s="171">
        <f t="shared" si="1"/>
        <v>4500000</v>
      </c>
      <c r="BD17" s="171">
        <f t="shared" si="1"/>
        <v>15000000</v>
      </c>
      <c r="BE17" s="171">
        <f t="shared" si="1"/>
        <v>22500000</v>
      </c>
      <c r="BF17" s="171">
        <f t="shared" si="1"/>
        <v>33750000</v>
      </c>
      <c r="BG17" s="171">
        <f t="shared" si="1"/>
        <v>50625000</v>
      </c>
      <c r="BH17" t="s">
        <v>163</v>
      </c>
    </row>
    <row r="18" spans="2:60" x14ac:dyDescent="0.25">
      <c r="B18" t="s">
        <v>239</v>
      </c>
      <c r="C18" t="s">
        <v>159</v>
      </c>
      <c r="D18" s="155" t="s">
        <v>164</v>
      </c>
      <c r="E18" s="32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9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20"/>
      <c r="AF18" s="184"/>
      <c r="AG18" s="185"/>
      <c r="AH18" s="185"/>
      <c r="AI18" s="185"/>
      <c r="AJ18" s="185"/>
      <c r="AK18" s="185"/>
      <c r="AL18" s="185"/>
      <c r="AM18" s="185"/>
      <c r="AN18" s="185"/>
      <c r="AO18" s="185"/>
      <c r="AP18" s="185"/>
      <c r="AQ18" s="185"/>
      <c r="AR18" s="21"/>
      <c r="AS18" s="171"/>
      <c r="AT18" s="171"/>
      <c r="AU18" s="20"/>
      <c r="AV18" s="171"/>
      <c r="AW18" s="171"/>
      <c r="AX18" s="21"/>
      <c r="AY18" s="171"/>
      <c r="AZ18" s="171"/>
      <c r="BA18" s="20"/>
      <c r="BB18" s="171"/>
      <c r="BC18" s="171"/>
      <c r="BD18" s="21"/>
      <c r="BE18" s="20"/>
      <c r="BF18" s="20">
        <f>AX8*BF10</f>
        <v>60000</v>
      </c>
      <c r="BG18" s="20">
        <f>BA8*BG10</f>
        <v>125000</v>
      </c>
      <c r="BH18" t="s">
        <v>165</v>
      </c>
    </row>
    <row r="19" spans="2:60" ht="16.5" thickBot="1" x14ac:dyDescent="0.3">
      <c r="B19" t="s">
        <v>240</v>
      </c>
      <c r="C19" t="s">
        <v>159</v>
      </c>
      <c r="D19" s="156" t="s">
        <v>166</v>
      </c>
      <c r="E19" s="132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32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33"/>
      <c r="AF19" s="186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34"/>
      <c r="AS19" s="172"/>
      <c r="AT19" s="172"/>
      <c r="AU19" s="133"/>
      <c r="AV19" s="172"/>
      <c r="AW19" s="172"/>
      <c r="AX19" s="134"/>
      <c r="AY19" s="172"/>
      <c r="AZ19" s="172"/>
      <c r="BA19" s="133">
        <f>BB19+BC19</f>
        <v>5400000</v>
      </c>
      <c r="BB19" s="172">
        <f>BB12*BB11</f>
        <v>1800000</v>
      </c>
      <c r="BC19" s="172">
        <f t="shared" ref="BC19:BG19" si="2">BC12*BC11</f>
        <v>3600000</v>
      </c>
      <c r="BD19" s="21">
        <f t="shared" si="2"/>
        <v>18000000</v>
      </c>
      <c r="BE19" s="21">
        <f t="shared" si="2"/>
        <v>45000000</v>
      </c>
      <c r="BF19" s="21">
        <f t="shared" si="2"/>
        <v>81000000</v>
      </c>
      <c r="BG19" s="21">
        <f t="shared" si="2"/>
        <v>117000000</v>
      </c>
      <c r="BH19" t="s">
        <v>167</v>
      </c>
    </row>
    <row r="20" spans="2:60" x14ac:dyDescent="0.25">
      <c r="B20" t="s">
        <v>241</v>
      </c>
      <c r="C20" t="s">
        <v>245</v>
      </c>
      <c r="D20" s="274" t="s">
        <v>168</v>
      </c>
      <c r="E20" s="19">
        <f t="shared" ref="E20" si="3">SUMIF($C$16:$C$19,"Revenue",E16:E19)</f>
        <v>0</v>
      </c>
      <c r="F20" s="19">
        <f t="shared" ref="F20" si="4">SUMIF($C$16:$C$19,"Revenue",F16:F19)</f>
        <v>0</v>
      </c>
      <c r="G20" s="19">
        <f t="shared" ref="G20" si="5">SUMIF($C$16:$C$19,"Revenue",G16:G19)</f>
        <v>0</v>
      </c>
      <c r="H20" s="19">
        <f t="shared" ref="H20" si="6">SUMIF($C$16:$C$19,"Revenue",H16:H19)</f>
        <v>0</v>
      </c>
      <c r="I20" s="19">
        <f t="shared" ref="I20" si="7">SUMIF($C$16:$C$19,"Revenue",I16:I19)</f>
        <v>0</v>
      </c>
      <c r="J20" s="19">
        <f t="shared" ref="J20" si="8">SUMIF($C$16:$C$19,"Revenue",J16:J19)</f>
        <v>0</v>
      </c>
      <c r="K20" s="19">
        <f t="shared" ref="K20" si="9">SUMIF($C$16:$C$19,"Revenue",K16:K19)</f>
        <v>0</v>
      </c>
      <c r="L20" s="19">
        <f t="shared" ref="L20" si="10">SUMIF($C$16:$C$19,"Revenue",L16:L19)</f>
        <v>0</v>
      </c>
      <c r="M20" s="19">
        <f t="shared" ref="M20" si="11">SUMIF($C$16:$C$19,"Revenue",M16:M19)</f>
        <v>0</v>
      </c>
      <c r="N20" s="19">
        <f t="shared" ref="N20" si="12">SUMIF($C$16:$C$19,"Revenue",N16:N19)</f>
        <v>0</v>
      </c>
      <c r="O20" s="19">
        <f t="shared" ref="O20" si="13">SUMIF($C$16:$C$19,"Revenue",O16:O19)</f>
        <v>0</v>
      </c>
      <c r="P20" s="19">
        <f t="shared" ref="P20" si="14">SUMIF($C$16:$C$19,"Revenue",P16:P19)</f>
        <v>0</v>
      </c>
      <c r="Q20" s="19">
        <f t="shared" ref="Q20" si="15">SUMIF($C$16:$C$19,"Revenue",Q16:Q19)</f>
        <v>0</v>
      </c>
      <c r="R20" s="19">
        <f t="shared" ref="R20" si="16">SUMIF($C$16:$C$19,"Revenue",R16:R19)</f>
        <v>0</v>
      </c>
      <c r="S20" s="19">
        <f t="shared" ref="S20" si="17">SUMIF($C$16:$C$19,"Revenue",S16:S19)</f>
        <v>0</v>
      </c>
      <c r="T20" s="19">
        <f t="shared" ref="T20" si="18">SUMIF($C$16:$C$19,"Revenue",T16:T19)</f>
        <v>0</v>
      </c>
      <c r="U20" s="19">
        <f t="shared" ref="U20" si="19">SUMIF($C$16:$C$19,"Revenue",U16:U19)</f>
        <v>0</v>
      </c>
      <c r="V20" s="19">
        <f t="shared" ref="V20" si="20">SUMIF($C$16:$C$19,"Revenue",V16:V19)</f>
        <v>0</v>
      </c>
      <c r="W20" s="19">
        <f t="shared" ref="W20" si="21">SUMIF($C$16:$C$19,"Revenue",W16:W19)</f>
        <v>0</v>
      </c>
      <c r="X20" s="19">
        <f t="shared" ref="X20" si="22">SUMIF($C$16:$C$19,"Revenue",X16:X19)</f>
        <v>0</v>
      </c>
      <c r="Y20" s="19">
        <f t="shared" ref="Y20" si="23">SUMIF($C$16:$C$19,"Revenue",Y16:Y19)</f>
        <v>0</v>
      </c>
      <c r="Z20" s="19">
        <f t="shared" ref="Z20" si="24">SUMIF($C$16:$C$19,"Revenue",Z16:Z19)</f>
        <v>0</v>
      </c>
      <c r="AA20" s="19">
        <f t="shared" ref="AA20" si="25">SUMIF($C$16:$C$19,"Revenue",AA16:AA19)</f>
        <v>0</v>
      </c>
      <c r="AB20" s="19">
        <f t="shared" ref="AB20" si="26">SUMIF($C$16:$C$19,"Revenue",AB16:AB19)</f>
        <v>0</v>
      </c>
      <c r="AC20" s="19">
        <f t="shared" ref="AC20" si="27">SUMIF($C$16:$C$19,"Revenue",AC16:AC19)</f>
        <v>0</v>
      </c>
      <c r="AD20" s="19">
        <f t="shared" ref="AD20" si="28">SUMIF($C$16:$C$19,"Revenue",AD16:AD19)</f>
        <v>0</v>
      </c>
      <c r="AE20" s="19">
        <f t="shared" ref="AE20" si="29">SUMIF($C$16:$C$19,"Revenue",AE16:AE19)</f>
        <v>0</v>
      </c>
      <c r="AF20" s="19">
        <f t="shared" ref="AF20" si="30">SUMIF($C$16:$C$19,"Revenue",AF16:AF19)</f>
        <v>0</v>
      </c>
      <c r="AG20" s="19">
        <f t="shared" ref="AG20" si="31">SUMIF($C$16:$C$19,"Revenue",AG16:AG19)</f>
        <v>0</v>
      </c>
      <c r="AH20" s="19">
        <f t="shared" ref="AH20" si="32">SUMIF($C$16:$C$19,"Revenue",AH16:AH19)</f>
        <v>0</v>
      </c>
      <c r="AI20" s="19">
        <f t="shared" ref="AI20" si="33">SUMIF($C$16:$C$19,"Revenue",AI16:AI19)</f>
        <v>0</v>
      </c>
      <c r="AJ20" s="19">
        <f t="shared" ref="AJ20" si="34">SUMIF($C$16:$C$19,"Revenue",AJ16:AJ19)</f>
        <v>0</v>
      </c>
      <c r="AK20" s="19">
        <f t="shared" ref="AK20" si="35">SUMIF($C$16:$C$19,"Revenue",AK16:AK19)</f>
        <v>0</v>
      </c>
      <c r="AL20" s="19">
        <f t="shared" ref="AL20" si="36">SUMIF($C$16:$C$19,"Revenue",AL16:AL19)</f>
        <v>0</v>
      </c>
      <c r="AM20" s="19">
        <f t="shared" ref="AM20" si="37">SUMIF($C$16:$C$19,"Revenue",AM16:AM19)</f>
        <v>0</v>
      </c>
      <c r="AN20" s="19">
        <f t="shared" ref="AN20" si="38">SUMIF($C$16:$C$19,"Revenue",AN16:AN19)</f>
        <v>0</v>
      </c>
      <c r="AO20" s="19">
        <f t="shared" ref="AO20" si="39">SUMIF($C$16:$C$19,"Revenue",AO16:AO19)</f>
        <v>0</v>
      </c>
      <c r="AP20" s="19">
        <f t="shared" ref="AP20" si="40">SUMIF($C$16:$C$19,"Revenue",AP16:AP19)</f>
        <v>0</v>
      </c>
      <c r="AQ20" s="19">
        <f t="shared" ref="AQ20" si="41">SUMIF($C$16:$C$19,"Revenue",AQ16:AQ19)</f>
        <v>0</v>
      </c>
      <c r="AR20" s="19">
        <f t="shared" ref="AR20:BG20" si="42">SUMIF($C$16:$C$19,"Revenue",AR16:AR19)</f>
        <v>17246.250000000004</v>
      </c>
      <c r="AS20" s="19">
        <f t="shared" si="42"/>
        <v>3449.2500000000005</v>
      </c>
      <c r="AT20" s="19">
        <f t="shared" si="42"/>
        <v>13797.000000000002</v>
      </c>
      <c r="AU20" s="19">
        <f t="shared" si="42"/>
        <v>96579.000000000015</v>
      </c>
      <c r="AV20" s="19">
        <f t="shared" si="42"/>
        <v>41391.000000000007</v>
      </c>
      <c r="AW20" s="19">
        <f t="shared" si="42"/>
        <v>55188.000000000007</v>
      </c>
      <c r="AX20" s="19">
        <f t="shared" si="42"/>
        <v>3737970</v>
      </c>
      <c r="AY20" s="19">
        <f t="shared" si="42"/>
        <v>1568985</v>
      </c>
      <c r="AZ20" s="19">
        <f t="shared" si="42"/>
        <v>2168985</v>
      </c>
      <c r="BA20" s="19">
        <f t="shared" si="42"/>
        <v>13037970</v>
      </c>
      <c r="BB20" s="19">
        <f t="shared" si="42"/>
        <v>4873912.5</v>
      </c>
      <c r="BC20" s="19">
        <f t="shared" si="42"/>
        <v>8173912.5</v>
      </c>
      <c r="BD20" s="19">
        <f t="shared" si="42"/>
        <v>33137970</v>
      </c>
      <c r="BE20" s="19">
        <f t="shared" si="42"/>
        <v>67637970</v>
      </c>
      <c r="BF20" s="19">
        <f t="shared" si="42"/>
        <v>114947970</v>
      </c>
      <c r="BG20" s="19">
        <f t="shared" si="42"/>
        <v>167887970</v>
      </c>
    </row>
    <row r="21" spans="2:60" x14ac:dyDescent="0.25">
      <c r="B21" t="s">
        <v>238</v>
      </c>
      <c r="C21" t="s">
        <v>247</v>
      </c>
      <c r="D21" s="238" t="s">
        <v>169</v>
      </c>
      <c r="E21" s="1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4"/>
      <c r="AF21" s="188"/>
      <c r="AG21" s="174"/>
      <c r="AH21" s="174"/>
      <c r="AI21" s="174"/>
      <c r="AJ21" s="174"/>
      <c r="AK21" s="174"/>
      <c r="AL21" s="174"/>
      <c r="AM21" s="174"/>
      <c r="AN21" s="174"/>
      <c r="AO21" s="174"/>
      <c r="AP21" s="174"/>
      <c r="AQ21" s="174"/>
      <c r="AR21" s="15">
        <v>665000</v>
      </c>
      <c r="AS21" s="174">
        <v>665000</v>
      </c>
      <c r="AT21" s="174">
        <v>665000</v>
      </c>
      <c r="AU21" s="14">
        <f>'TEA values'!C24*150*365*20</f>
        <v>339450</v>
      </c>
      <c r="AV21" s="174">
        <f>500000</f>
        <v>500000</v>
      </c>
      <c r="AW21" s="174">
        <f>'TEA values'!C24*150*365*20</f>
        <v>339450</v>
      </c>
      <c r="AX21" s="52"/>
      <c r="BD21" s="52"/>
      <c r="BH21" t="s">
        <v>170</v>
      </c>
    </row>
    <row r="22" spans="2:60" x14ac:dyDescent="0.25">
      <c r="B22" t="s">
        <v>238</v>
      </c>
      <c r="C22" t="s">
        <v>231</v>
      </c>
      <c r="D22" s="157" t="s">
        <v>171</v>
      </c>
      <c r="E22" s="23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22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22"/>
      <c r="AF22" s="189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5">
        <f>AR21*AR4</f>
        <v>1995000</v>
      </c>
      <c r="AS22" s="174">
        <f>AS21*AS4</f>
        <v>665000</v>
      </c>
      <c r="AT22" s="174">
        <f>AT21*AT4</f>
        <v>1330000</v>
      </c>
      <c r="AU22" s="14">
        <f>AV22+AW22</f>
        <v>2857800</v>
      </c>
      <c r="AV22" s="174">
        <f>AV21*AV4</f>
        <v>1500000</v>
      </c>
      <c r="AW22" s="174">
        <f>AW21*AW4</f>
        <v>1357800</v>
      </c>
      <c r="AX22" s="23"/>
      <c r="AY22" s="175"/>
      <c r="AZ22" s="175"/>
      <c r="BA22" s="22"/>
      <c r="BB22" s="175"/>
      <c r="BC22" s="175"/>
      <c r="BD22" s="53"/>
      <c r="BE22" s="22"/>
      <c r="BF22" s="28"/>
      <c r="BG22" s="28"/>
    </row>
    <row r="23" spans="2:60" x14ac:dyDescent="0.25">
      <c r="B23" t="s">
        <v>238</v>
      </c>
      <c r="C23" t="s">
        <v>231</v>
      </c>
      <c r="D23" s="157" t="s">
        <v>172</v>
      </c>
      <c r="E23" s="23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22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22"/>
      <c r="AF23" s="189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5">
        <f>AS23+AT23</f>
        <v>19710</v>
      </c>
      <c r="AS23" s="174">
        <f>'TEA values'!C26*150*365*0.5</f>
        <v>6570</v>
      </c>
      <c r="AT23" s="174">
        <f>'TEA values'!C26*150*365*0.5*2</f>
        <v>13140</v>
      </c>
      <c r="AU23" s="14">
        <f>AV23+AW23</f>
        <v>91980</v>
      </c>
      <c r="AV23" s="174">
        <f>'TEA values'!C26*150*365*(3+3)*0.5</f>
        <v>39420</v>
      </c>
      <c r="AW23" s="174">
        <f>'TEA values'!C26*150*365*(3+3+2)*0.5</f>
        <v>52560</v>
      </c>
      <c r="AX23" s="15">
        <f>'TEA values'!C26*150*365*10</f>
        <v>131400</v>
      </c>
      <c r="AY23" s="174">
        <f>'TEA values'!C26*150*365*10*0.5</f>
        <v>65700</v>
      </c>
      <c r="AZ23" s="174">
        <f>'TEA values'!C26*150*365*10*0.5</f>
        <v>65700</v>
      </c>
      <c r="BA23" s="14">
        <f>'TEA values'!C26*150*365*10</f>
        <v>131400</v>
      </c>
      <c r="BB23" s="174">
        <f>'TEA values'!F26*150*365*10*0.5</f>
        <v>65700</v>
      </c>
      <c r="BC23" s="174">
        <f>'TEA values'!F26*150*365*10*0.5</f>
        <v>65700</v>
      </c>
      <c r="BD23" s="15">
        <f>'TEA values'!C26*150*365*10</f>
        <v>131400</v>
      </c>
      <c r="BE23" s="14">
        <f>'TEA values'!C26*150*365*10</f>
        <v>131400</v>
      </c>
      <c r="BF23" s="14">
        <f>'TEA values'!C26*150*365*10</f>
        <v>131400</v>
      </c>
      <c r="BG23" s="14">
        <f>'TEA values'!C26*150*365*10</f>
        <v>131400</v>
      </c>
    </row>
    <row r="24" spans="2:60" x14ac:dyDescent="0.25">
      <c r="B24" t="s">
        <v>238</v>
      </c>
      <c r="C24" t="s">
        <v>231</v>
      </c>
      <c r="D24" s="157" t="s">
        <v>173</v>
      </c>
      <c r="E24" s="23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22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22"/>
      <c r="AF24" s="189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5">
        <f>0.0325*'TEA values'!C24*150*365*1.5</f>
        <v>827.40937500000007</v>
      </c>
      <c r="AS24" s="174">
        <f>0.0325*'TEA values'!C24*150*365*0.5</f>
        <v>275.80312500000002</v>
      </c>
      <c r="AT24" s="174">
        <f>0.0325*'TEA values'!C24*150*365*AT4*AT5</f>
        <v>551.60625000000005</v>
      </c>
      <c r="AU24" s="14">
        <f>AV24+AW24</f>
        <v>2740.2374999999997</v>
      </c>
      <c r="AV24" s="174">
        <f>0.0325*'TEA values'!F24*150*365*AV4*AV5</f>
        <v>1174.3874999999998</v>
      </c>
      <c r="AW24" s="174">
        <f>0.0325*'TEA values'!F24*150*365*AW4*AW5</f>
        <v>1565.85</v>
      </c>
      <c r="AX24" s="15">
        <f>0.0325*'TEA values'!$C$24*150*365*10</f>
        <v>5516.0625</v>
      </c>
      <c r="AY24" s="174">
        <f>0.0325*'TEA values'!$C$24*150*365*10*0.5</f>
        <v>2758.03125</v>
      </c>
      <c r="AZ24" s="174">
        <f>0.0325*'TEA values'!$C$24*150*365*10*0.5</f>
        <v>2758.03125</v>
      </c>
      <c r="BA24" s="14">
        <f>BB24+BC24</f>
        <v>5516.0625</v>
      </c>
      <c r="BB24" s="174">
        <f>0.0325*'TEA values'!$C$24*150*365*10*0.5</f>
        <v>2758.03125</v>
      </c>
      <c r="BC24" s="174">
        <f>0.0325*'TEA values'!$C$24*150*365*10*0.5</f>
        <v>2758.03125</v>
      </c>
      <c r="BD24" s="15">
        <f>0.0325*'TEA values'!$C$24*150*365*10</f>
        <v>5516.0625</v>
      </c>
      <c r="BE24" s="14">
        <f>0.0325*'TEA values'!$C$24*150*365*10</f>
        <v>5516.0625</v>
      </c>
      <c r="BF24" s="14">
        <f>0.0325*'TEA values'!$C$24*150*365*10</f>
        <v>5516.0625</v>
      </c>
      <c r="BG24" s="14">
        <f>0.0325*'TEA values'!$C$24*150*365*10</f>
        <v>5516.0625</v>
      </c>
    </row>
    <row r="25" spans="2:60" x14ac:dyDescent="0.25">
      <c r="B25" t="s">
        <v>239</v>
      </c>
      <c r="C25" t="s">
        <v>247</v>
      </c>
      <c r="D25" s="157" t="s">
        <v>169</v>
      </c>
      <c r="E25" s="23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22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22"/>
      <c r="AF25" s="189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5"/>
      <c r="AS25" s="174"/>
      <c r="AT25" s="174"/>
      <c r="AU25" s="14"/>
      <c r="AV25" s="174"/>
      <c r="AW25" s="174"/>
      <c r="AX25" s="15">
        <f>'TEA values'!E24*150*365*20</f>
        <v>284700</v>
      </c>
      <c r="AY25" s="174">
        <f>'TEA values'!E24*150*365*20</f>
        <v>284700</v>
      </c>
      <c r="AZ25" s="174">
        <f>'TEA values'!E24*150*365*20</f>
        <v>284700</v>
      </c>
      <c r="BA25" s="14">
        <f>'TEA values'!G24*150*365*20</f>
        <v>219000</v>
      </c>
      <c r="BB25" s="174">
        <f>'TEA values'!G24*150*365*20</f>
        <v>219000</v>
      </c>
      <c r="BC25" s="174">
        <f>'TEA values'!G24*150*365*20</f>
        <v>219000</v>
      </c>
      <c r="BD25" s="15">
        <f>'TEA values'!I24*150*365*20</f>
        <v>175200</v>
      </c>
      <c r="BE25" s="14">
        <f>'TEA values'!K24*150*365*20</f>
        <v>153300.00000000003</v>
      </c>
      <c r="BF25" s="14">
        <f>'TEA values'!M24*150*365*20</f>
        <v>142350</v>
      </c>
      <c r="BG25" s="14">
        <f>'TEA values'!O24*150*365*20</f>
        <v>131400</v>
      </c>
    </row>
    <row r="26" spans="2:60" x14ac:dyDescent="0.25">
      <c r="B26" t="s">
        <v>239</v>
      </c>
      <c r="C26" t="s">
        <v>231</v>
      </c>
      <c r="D26" s="157" t="s">
        <v>250</v>
      </c>
      <c r="E26" s="23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22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22"/>
      <c r="AF26" s="189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5"/>
      <c r="AS26" s="174"/>
      <c r="AT26" s="174"/>
      <c r="AU26" s="14"/>
      <c r="AV26" s="174">
        <f>AV25*AV14</f>
        <v>0</v>
      </c>
      <c r="AW26" s="174">
        <f>AW25*AW14</f>
        <v>0</v>
      </c>
      <c r="AX26" s="15">
        <f t="shared" ref="AX26:BG26" si="43">AX25*AX8</f>
        <v>3416400</v>
      </c>
      <c r="AY26" s="15">
        <f t="shared" si="43"/>
        <v>1423500</v>
      </c>
      <c r="AZ26" s="15">
        <f t="shared" si="43"/>
        <v>1992900</v>
      </c>
      <c r="BA26" s="15">
        <f t="shared" si="43"/>
        <v>5475000</v>
      </c>
      <c r="BB26" s="15">
        <f t="shared" si="43"/>
        <v>2190000</v>
      </c>
      <c r="BC26" s="15">
        <f t="shared" si="43"/>
        <v>3285000</v>
      </c>
      <c r="BD26" s="15">
        <f t="shared" si="43"/>
        <v>8760000</v>
      </c>
      <c r="BE26" s="15">
        <f t="shared" si="43"/>
        <v>11497500.000000002</v>
      </c>
      <c r="BF26" s="15">
        <f t="shared" si="43"/>
        <v>16014375</v>
      </c>
      <c r="BG26" s="15">
        <f t="shared" si="43"/>
        <v>22173750</v>
      </c>
    </row>
    <row r="27" spans="2:60" x14ac:dyDescent="0.25">
      <c r="B27" t="s">
        <v>239</v>
      </c>
      <c r="C27" t="s">
        <v>231</v>
      </c>
      <c r="D27" s="157" t="s">
        <v>173</v>
      </c>
      <c r="E27" s="23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22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22"/>
      <c r="AF27" s="189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5"/>
      <c r="AS27" s="174"/>
      <c r="AT27" s="174"/>
      <c r="AU27" s="14"/>
      <c r="AV27" s="174"/>
      <c r="AW27" s="174"/>
      <c r="AX27" s="15">
        <f>0.0325*AX25*AX8</f>
        <v>111033</v>
      </c>
      <c r="AY27" s="174">
        <f>0.0325*AY25*AY8</f>
        <v>46263.75</v>
      </c>
      <c r="AZ27" s="174">
        <f>0.0325*AZ25*AZ8</f>
        <v>64769.25</v>
      </c>
      <c r="BA27" s="14">
        <f>BB27+BC27</f>
        <v>177937.5</v>
      </c>
      <c r="BB27" s="174">
        <f t="shared" ref="BB27:BG27" si="44">0.0325*BB25*BB8</f>
        <v>71175</v>
      </c>
      <c r="BC27" s="174">
        <f t="shared" si="44"/>
        <v>106762.5</v>
      </c>
      <c r="BD27" s="15">
        <f t="shared" si="44"/>
        <v>284700</v>
      </c>
      <c r="BE27" s="14">
        <f t="shared" si="44"/>
        <v>373668.75000000006</v>
      </c>
      <c r="BF27" s="14">
        <f t="shared" si="44"/>
        <v>520467.1875</v>
      </c>
      <c r="BG27" s="14">
        <f t="shared" si="44"/>
        <v>720646.875</v>
      </c>
    </row>
    <row r="28" spans="2:60" x14ac:dyDescent="0.25">
      <c r="B28" t="s">
        <v>239</v>
      </c>
      <c r="C28" t="s">
        <v>231</v>
      </c>
      <c r="D28" s="157" t="s">
        <v>174</v>
      </c>
      <c r="E28" s="23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22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22"/>
      <c r="AF28" s="189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5"/>
      <c r="AS28" s="174"/>
      <c r="AT28" s="174"/>
      <c r="AU28" s="14"/>
      <c r="AV28" s="174"/>
      <c r="AW28" s="174"/>
      <c r="AX28" s="15"/>
      <c r="AY28" s="174"/>
      <c r="AZ28" s="174"/>
      <c r="BA28" s="14"/>
      <c r="BB28" s="174"/>
      <c r="BC28" s="174"/>
      <c r="BD28" s="15"/>
      <c r="BE28" s="14"/>
      <c r="BF28" s="14">
        <f>AX8*2000</f>
        <v>24000</v>
      </c>
      <c r="BG28" s="14">
        <f>BA8*2000</f>
        <v>50000</v>
      </c>
      <c r="BH28" t="s">
        <v>175</v>
      </c>
    </row>
    <row r="29" spans="2:60" x14ac:dyDescent="0.25">
      <c r="B29" t="s">
        <v>240</v>
      </c>
      <c r="C29" t="s">
        <v>247</v>
      </c>
      <c r="D29" s="238" t="s">
        <v>249</v>
      </c>
      <c r="E29" s="1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  <c r="AD29" s="174"/>
      <c r="AE29" s="14"/>
      <c r="AF29" s="188"/>
      <c r="AG29" s="174"/>
      <c r="AH29" s="174"/>
      <c r="AI29" s="174"/>
      <c r="AJ29" s="174"/>
      <c r="AK29" s="174"/>
      <c r="AL29" s="174"/>
      <c r="AM29" s="174"/>
      <c r="AN29" s="174"/>
      <c r="AO29" s="174"/>
      <c r="AP29" s="174"/>
      <c r="AQ29" s="174"/>
      <c r="AR29" s="15"/>
      <c r="AS29" s="174"/>
      <c r="AT29" s="174"/>
      <c r="AU29" s="14"/>
      <c r="AV29" s="174"/>
      <c r="AW29" s="174"/>
      <c r="AX29" s="15"/>
      <c r="AY29" s="174"/>
      <c r="AZ29" s="174"/>
      <c r="BA29" s="14">
        <f>'TEA values'!F24*1000*365*20</f>
        <v>1606000</v>
      </c>
      <c r="BB29" s="174">
        <f>'TEA values'!F24*1000*365*20</f>
        <v>1606000</v>
      </c>
      <c r="BC29" s="174">
        <f>'TEA values'!F24*1000*365*20</f>
        <v>1606000</v>
      </c>
      <c r="BD29" s="15">
        <f>'TEA values'!H24*1000*365*20</f>
        <v>1533000</v>
      </c>
      <c r="BE29" s="14">
        <f>'TEA values'!J24*1000*365*20</f>
        <v>1460000</v>
      </c>
      <c r="BF29" s="14">
        <f>'TEA values'!L24*1000*365*20</f>
        <v>949000</v>
      </c>
      <c r="BG29" s="14">
        <f>'TEA values'!N24*1000*365*20</f>
        <v>730000</v>
      </c>
    </row>
    <row r="30" spans="2:60" x14ac:dyDescent="0.25">
      <c r="B30" t="s">
        <v>239</v>
      </c>
      <c r="C30" t="s">
        <v>231</v>
      </c>
      <c r="D30" s="157" t="s">
        <v>251</v>
      </c>
      <c r="E30" s="23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22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22"/>
      <c r="AF30" s="189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5"/>
      <c r="AS30" s="174"/>
      <c r="AT30" s="174"/>
      <c r="AU30" s="14"/>
      <c r="AV30" s="174">
        <f>AV29*AV18</f>
        <v>0</v>
      </c>
      <c r="AW30" s="174">
        <f>AW29*AW18</f>
        <v>0</v>
      </c>
      <c r="AX30" s="15"/>
      <c r="AY30" s="15"/>
      <c r="AZ30" s="15"/>
      <c r="BA30" s="15">
        <f t="shared" ref="BA30:BG30" si="45">BA29*BA11</f>
        <v>4818000</v>
      </c>
      <c r="BB30" s="15">
        <f t="shared" si="45"/>
        <v>1606000</v>
      </c>
      <c r="BC30" s="15">
        <f t="shared" si="45"/>
        <v>3212000</v>
      </c>
      <c r="BD30" s="15">
        <f t="shared" si="45"/>
        <v>15330000</v>
      </c>
      <c r="BE30" s="15">
        <f t="shared" si="45"/>
        <v>36500000</v>
      </c>
      <c r="BF30" s="15">
        <f t="shared" si="45"/>
        <v>42705000</v>
      </c>
      <c r="BG30" s="15">
        <f t="shared" si="45"/>
        <v>47450000</v>
      </c>
    </row>
    <row r="31" spans="2:60" x14ac:dyDescent="0.25">
      <c r="B31" t="s">
        <v>240</v>
      </c>
      <c r="C31" t="s">
        <v>231</v>
      </c>
      <c r="D31" s="157" t="s">
        <v>173</v>
      </c>
      <c r="E31" s="52"/>
      <c r="AE31" s="22"/>
      <c r="AF31" s="190"/>
      <c r="AR31" s="23"/>
      <c r="AS31" s="175"/>
      <c r="AT31" s="175"/>
      <c r="AU31" s="22"/>
      <c r="AV31" s="175"/>
      <c r="AW31" s="175"/>
      <c r="AX31" s="23"/>
      <c r="AY31" s="175"/>
      <c r="AZ31" s="175"/>
      <c r="BA31" s="14">
        <f>BB31+BC31</f>
        <v>156585</v>
      </c>
      <c r="BB31" s="174">
        <f t="shared" ref="BB31:BG31" si="46">0.0325*BB29*BB11</f>
        <v>52195</v>
      </c>
      <c r="BC31" s="174">
        <f t="shared" si="46"/>
        <v>104390</v>
      </c>
      <c r="BD31" s="15">
        <f>0.0325*BD29*BD11</f>
        <v>498225</v>
      </c>
      <c r="BE31" s="14">
        <f t="shared" si="46"/>
        <v>1186250</v>
      </c>
      <c r="BF31" s="14">
        <f t="shared" si="46"/>
        <v>1387912.5</v>
      </c>
      <c r="BG31" s="14">
        <f t="shared" si="46"/>
        <v>1542125</v>
      </c>
    </row>
    <row r="32" spans="2:60" s="288" customFormat="1" ht="16.5" thickBot="1" x14ac:dyDescent="0.3">
      <c r="B32" s="288" t="s">
        <v>241</v>
      </c>
      <c r="C32" s="288" t="s">
        <v>245</v>
      </c>
      <c r="D32" s="208" t="s">
        <v>177</v>
      </c>
      <c r="E32" s="24">
        <f t="shared" ref="E32" si="47">SUMIF($C$20:$C$31,"COGS",E20:E31)</f>
        <v>0</v>
      </c>
      <c r="F32" s="24">
        <f t="shared" ref="F32" si="48">SUMIF($C$20:$C$31,"COGS",F20:F31)</f>
        <v>0</v>
      </c>
      <c r="G32" s="24">
        <f t="shared" ref="G32" si="49">SUMIF($C$20:$C$31,"COGS",G20:G31)</f>
        <v>0</v>
      </c>
      <c r="H32" s="24">
        <f t="shared" ref="H32" si="50">SUMIF($C$20:$C$31,"COGS",H20:H31)</f>
        <v>0</v>
      </c>
      <c r="I32" s="24">
        <f t="shared" ref="I32" si="51">SUMIF($C$20:$C$31,"COGS",I20:I31)</f>
        <v>0</v>
      </c>
      <c r="J32" s="24">
        <f t="shared" ref="J32" si="52">SUMIF($C$20:$C$31,"COGS",J20:J31)</f>
        <v>0</v>
      </c>
      <c r="K32" s="24">
        <f t="shared" ref="K32" si="53">SUMIF($C$20:$C$31,"COGS",K20:K31)</f>
        <v>0</v>
      </c>
      <c r="L32" s="24">
        <f t="shared" ref="L32" si="54">SUMIF($C$20:$C$31,"COGS",L20:L31)</f>
        <v>0</v>
      </c>
      <c r="M32" s="24">
        <f t="shared" ref="M32" si="55">SUMIF($C$20:$C$31,"COGS",M20:M31)</f>
        <v>0</v>
      </c>
      <c r="N32" s="24">
        <f t="shared" ref="N32" si="56">SUMIF($C$20:$C$31,"COGS",N20:N31)</f>
        <v>0</v>
      </c>
      <c r="O32" s="24">
        <f t="shared" ref="O32" si="57">SUMIF($C$20:$C$31,"COGS",O20:O31)</f>
        <v>0</v>
      </c>
      <c r="P32" s="24">
        <f t="shared" ref="P32" si="58">SUMIF($C$20:$C$31,"COGS",P20:P31)</f>
        <v>0</v>
      </c>
      <c r="Q32" s="24">
        <f t="shared" ref="Q32" si="59">SUMIF($C$20:$C$31,"COGS",Q20:Q31)</f>
        <v>0</v>
      </c>
      <c r="R32" s="24">
        <f t="shared" ref="R32" si="60">SUMIF($C$20:$C$31,"COGS",R20:R31)</f>
        <v>0</v>
      </c>
      <c r="S32" s="24">
        <f t="shared" ref="S32" si="61">SUMIF($C$20:$C$31,"COGS",S20:S31)</f>
        <v>0</v>
      </c>
      <c r="T32" s="24">
        <f t="shared" ref="T32" si="62">SUMIF($C$20:$C$31,"COGS",T20:T31)</f>
        <v>0</v>
      </c>
      <c r="U32" s="24">
        <f t="shared" ref="U32" si="63">SUMIF($C$20:$C$31,"COGS",U20:U31)</f>
        <v>0</v>
      </c>
      <c r="V32" s="24">
        <f t="shared" ref="V32" si="64">SUMIF($C$20:$C$31,"COGS",V20:V31)</f>
        <v>0</v>
      </c>
      <c r="W32" s="24">
        <f t="shared" ref="W32" si="65">SUMIF($C$20:$C$31,"COGS",W20:W31)</f>
        <v>0</v>
      </c>
      <c r="X32" s="24">
        <f t="shared" ref="X32" si="66">SUMIF($C$20:$C$31,"COGS",X20:X31)</f>
        <v>0</v>
      </c>
      <c r="Y32" s="24">
        <f t="shared" ref="Y32" si="67">SUMIF($C$20:$C$31,"COGS",Y20:Y31)</f>
        <v>0</v>
      </c>
      <c r="Z32" s="24">
        <f t="shared" ref="Z32" si="68">SUMIF($C$20:$C$31,"COGS",Z20:Z31)</f>
        <v>0</v>
      </c>
      <c r="AA32" s="24">
        <f t="shared" ref="AA32" si="69">SUMIF($C$20:$C$31,"COGS",AA20:AA31)</f>
        <v>0</v>
      </c>
      <c r="AB32" s="24">
        <f t="shared" ref="AB32" si="70">SUMIF($C$20:$C$31,"COGS",AB20:AB31)</f>
        <v>0</v>
      </c>
      <c r="AC32" s="24">
        <f t="shared" ref="AC32" si="71">SUMIF($C$20:$C$31,"COGS",AC20:AC31)</f>
        <v>0</v>
      </c>
      <c r="AD32" s="24">
        <f t="shared" ref="AD32" si="72">SUMIF($C$20:$C$31,"COGS",AD20:AD31)</f>
        <v>0</v>
      </c>
      <c r="AE32" s="24">
        <f t="shared" ref="AE32" si="73">SUMIF($C$20:$C$31,"COGS",AE20:AE31)</f>
        <v>0</v>
      </c>
      <c r="AF32" s="24">
        <f t="shared" ref="AF32" si="74">SUMIF($C$20:$C$31,"COGS",AF20:AF31)</f>
        <v>0</v>
      </c>
      <c r="AG32" s="24">
        <f t="shared" ref="AG32" si="75">SUMIF($C$20:$C$31,"COGS",AG20:AG31)</f>
        <v>0</v>
      </c>
      <c r="AH32" s="24">
        <f t="shared" ref="AH32" si="76">SUMIF($C$20:$C$31,"COGS",AH20:AH31)</f>
        <v>0</v>
      </c>
      <c r="AI32" s="24">
        <f t="shared" ref="AI32" si="77">SUMIF($C$20:$C$31,"COGS",AI20:AI31)</f>
        <v>0</v>
      </c>
      <c r="AJ32" s="24">
        <f t="shared" ref="AJ32" si="78">SUMIF($C$20:$C$31,"COGS",AJ20:AJ31)</f>
        <v>0</v>
      </c>
      <c r="AK32" s="24">
        <f t="shared" ref="AK32" si="79">SUMIF($C$20:$C$31,"COGS",AK20:AK31)</f>
        <v>0</v>
      </c>
      <c r="AL32" s="24">
        <f t="shared" ref="AL32" si="80">SUMIF($C$20:$C$31,"COGS",AL20:AL31)</f>
        <v>0</v>
      </c>
      <c r="AM32" s="24">
        <f t="shared" ref="AM32" si="81">SUMIF($C$20:$C$31,"COGS",AM20:AM31)</f>
        <v>0</v>
      </c>
      <c r="AN32" s="24">
        <f t="shared" ref="AN32" si="82">SUMIF($C$20:$C$31,"COGS",AN20:AN31)</f>
        <v>0</v>
      </c>
      <c r="AO32" s="24">
        <f t="shared" ref="AO32" si="83">SUMIF($C$20:$C$31,"COGS",AO20:AO31)</f>
        <v>0</v>
      </c>
      <c r="AP32" s="24">
        <f t="shared" ref="AP32" si="84">SUMIF($C$20:$C$31,"COGS",AP20:AP31)</f>
        <v>0</v>
      </c>
      <c r="AQ32" s="24">
        <f t="shared" ref="AQ32" si="85">SUMIF($C$20:$C$31,"COGS",AQ20:AQ31)</f>
        <v>0</v>
      </c>
      <c r="AR32" s="24">
        <f t="shared" ref="AR32:BG32" si="86">SUMIF($C$20:$C$31,"COGS",AR20:AR31)</f>
        <v>2015537.409375</v>
      </c>
      <c r="AS32" s="24">
        <f t="shared" si="86"/>
        <v>671845.80312499998</v>
      </c>
      <c r="AT32" s="24">
        <f t="shared" si="86"/>
        <v>1343691.60625</v>
      </c>
      <c r="AU32" s="24">
        <f t="shared" si="86"/>
        <v>2952520.2374999998</v>
      </c>
      <c r="AV32" s="24">
        <f t="shared" si="86"/>
        <v>1540594.3875</v>
      </c>
      <c r="AW32" s="24">
        <f t="shared" si="86"/>
        <v>1411925.85</v>
      </c>
      <c r="AX32" s="24">
        <f t="shared" si="86"/>
        <v>3664349.0625</v>
      </c>
      <c r="AY32" s="24">
        <f t="shared" si="86"/>
        <v>1538221.78125</v>
      </c>
      <c r="AZ32" s="24">
        <f t="shared" si="86"/>
        <v>2126127.28125</v>
      </c>
      <c r="BA32" s="24">
        <f t="shared" si="86"/>
        <v>10764438.5625</v>
      </c>
      <c r="BB32" s="24">
        <f t="shared" si="86"/>
        <v>3987828.03125</v>
      </c>
      <c r="BC32" s="24">
        <f t="shared" si="86"/>
        <v>6776610.53125</v>
      </c>
      <c r="BD32" s="24">
        <f t="shared" si="86"/>
        <v>25009841.0625</v>
      </c>
      <c r="BE32" s="24">
        <f t="shared" si="86"/>
        <v>49694334.8125</v>
      </c>
      <c r="BF32" s="24">
        <f t="shared" si="86"/>
        <v>60788670.75</v>
      </c>
      <c r="BG32" s="24">
        <f t="shared" si="86"/>
        <v>72073437.9375</v>
      </c>
    </row>
    <row r="33" spans="2:69" x14ac:dyDescent="0.25">
      <c r="B33" t="s">
        <v>241</v>
      </c>
      <c r="C33" t="s">
        <v>245</v>
      </c>
      <c r="D33" s="208" t="s">
        <v>252</v>
      </c>
      <c r="E33" s="12">
        <f t="shared" ref="E33" si="87">E20-E32</f>
        <v>0</v>
      </c>
      <c r="F33" s="12">
        <f t="shared" ref="F33" si="88">F20-F32</f>
        <v>0</v>
      </c>
      <c r="G33" s="12">
        <f t="shared" ref="G33" si="89">G20-G32</f>
        <v>0</v>
      </c>
      <c r="H33" s="12">
        <f t="shared" ref="H33" si="90">H20-H32</f>
        <v>0</v>
      </c>
      <c r="I33" s="12">
        <f t="shared" ref="I33" si="91">I20-I32</f>
        <v>0</v>
      </c>
      <c r="J33" s="12">
        <f t="shared" ref="J33" si="92">J20-J32</f>
        <v>0</v>
      </c>
      <c r="K33" s="12">
        <f t="shared" ref="K33" si="93">K20-K32</f>
        <v>0</v>
      </c>
      <c r="L33" s="12">
        <f t="shared" ref="L33" si="94">L20-L32</f>
        <v>0</v>
      </c>
      <c r="M33" s="12">
        <f t="shared" ref="M33" si="95">M20-M32</f>
        <v>0</v>
      </c>
      <c r="N33" s="12">
        <f t="shared" ref="N33" si="96">N20-N32</f>
        <v>0</v>
      </c>
      <c r="O33" s="12">
        <f t="shared" ref="O33" si="97">O20-O32</f>
        <v>0</v>
      </c>
      <c r="P33" s="12">
        <f t="shared" ref="P33" si="98">P20-P32</f>
        <v>0</v>
      </c>
      <c r="Q33" s="12">
        <f t="shared" ref="Q33" si="99">Q20-Q32</f>
        <v>0</v>
      </c>
      <c r="R33" s="12">
        <f t="shared" ref="R33" si="100">R20-R32</f>
        <v>0</v>
      </c>
      <c r="S33" s="12">
        <f t="shared" ref="S33" si="101">S20-S32</f>
        <v>0</v>
      </c>
      <c r="T33" s="12">
        <f t="shared" ref="T33" si="102">T20-T32</f>
        <v>0</v>
      </c>
      <c r="U33" s="12">
        <f t="shared" ref="U33" si="103">U20-U32</f>
        <v>0</v>
      </c>
      <c r="V33" s="12">
        <f t="shared" ref="V33" si="104">V20-V32</f>
        <v>0</v>
      </c>
      <c r="W33" s="12">
        <f t="shared" ref="W33" si="105">W20-W32</f>
        <v>0</v>
      </c>
      <c r="X33" s="12">
        <f t="shared" ref="X33" si="106">X20-X32</f>
        <v>0</v>
      </c>
      <c r="Y33" s="12">
        <f t="shared" ref="Y33" si="107">Y20-Y32</f>
        <v>0</v>
      </c>
      <c r="Z33" s="12">
        <f t="shared" ref="Z33" si="108">Z20-Z32</f>
        <v>0</v>
      </c>
      <c r="AA33" s="12">
        <f t="shared" ref="AA33" si="109">AA20-AA32</f>
        <v>0</v>
      </c>
      <c r="AB33" s="12">
        <f t="shared" ref="AB33" si="110">AB20-AB32</f>
        <v>0</v>
      </c>
      <c r="AC33" s="12">
        <f t="shared" ref="AC33" si="111">AC20-AC32</f>
        <v>0</v>
      </c>
      <c r="AD33" s="12">
        <f t="shared" ref="AD33" si="112">AD20-AD32</f>
        <v>0</v>
      </c>
      <c r="AE33" s="12">
        <f t="shared" ref="AE33" si="113">AE20-AE32</f>
        <v>0</v>
      </c>
      <c r="AF33" s="12">
        <f t="shared" ref="AF33" si="114">AF20-AF32</f>
        <v>0</v>
      </c>
      <c r="AG33" s="12">
        <f t="shared" ref="AG33" si="115">AG20-AG32</f>
        <v>0</v>
      </c>
      <c r="AH33" s="12">
        <f t="shared" ref="AH33" si="116">AH20-AH32</f>
        <v>0</v>
      </c>
      <c r="AI33" s="12">
        <f t="shared" ref="AI33" si="117">AI20-AI32</f>
        <v>0</v>
      </c>
      <c r="AJ33" s="12">
        <f t="shared" ref="AJ33" si="118">AJ20-AJ32</f>
        <v>0</v>
      </c>
      <c r="AK33" s="12">
        <f t="shared" ref="AK33" si="119">AK20-AK32</f>
        <v>0</v>
      </c>
      <c r="AL33" s="12">
        <f t="shared" ref="AL33" si="120">AL20-AL32</f>
        <v>0</v>
      </c>
      <c r="AM33" s="12">
        <f t="shared" ref="AM33" si="121">AM20-AM32</f>
        <v>0</v>
      </c>
      <c r="AN33" s="12">
        <f t="shared" ref="AN33" si="122">AN20-AN32</f>
        <v>0</v>
      </c>
      <c r="AO33" s="12">
        <f t="shared" ref="AO33" si="123">AO20-AO32</f>
        <v>0</v>
      </c>
      <c r="AP33" s="12">
        <f t="shared" ref="AP33" si="124">AP20-AP32</f>
        <v>0</v>
      </c>
      <c r="AQ33" s="12">
        <f t="shared" ref="AQ33" si="125">AQ20-AQ32</f>
        <v>0</v>
      </c>
      <c r="AR33" s="12">
        <f t="shared" ref="AR33:BG33" si="126">AR20-AR32</f>
        <v>-1998291.159375</v>
      </c>
      <c r="AS33" s="12">
        <f t="shared" si="126"/>
        <v>-668396.55312499998</v>
      </c>
      <c r="AT33" s="12">
        <f t="shared" si="126"/>
        <v>-1329894.60625</v>
      </c>
      <c r="AU33" s="12">
        <f t="shared" si="126"/>
        <v>-2855941.2374999998</v>
      </c>
      <c r="AV33" s="12">
        <f t="shared" si="126"/>
        <v>-1499203.3875</v>
      </c>
      <c r="AW33" s="12">
        <f t="shared" si="126"/>
        <v>-1356737.85</v>
      </c>
      <c r="AX33" s="12">
        <f t="shared" si="126"/>
        <v>73620.9375</v>
      </c>
      <c r="AY33" s="12">
        <f t="shared" si="126"/>
        <v>30763.21875</v>
      </c>
      <c r="AZ33" s="12">
        <f t="shared" si="126"/>
        <v>42857.71875</v>
      </c>
      <c r="BA33" s="12">
        <f t="shared" si="126"/>
        <v>2273531.4375</v>
      </c>
      <c r="BB33" s="12">
        <f t="shared" si="126"/>
        <v>886084.46875</v>
      </c>
      <c r="BC33" s="12">
        <f t="shared" si="126"/>
        <v>1397301.96875</v>
      </c>
      <c r="BD33" s="12">
        <f t="shared" si="126"/>
        <v>8128128.9375</v>
      </c>
      <c r="BE33" s="12">
        <f t="shared" si="126"/>
        <v>17943635.1875</v>
      </c>
      <c r="BF33" s="12">
        <f t="shared" si="126"/>
        <v>54159299.25</v>
      </c>
      <c r="BG33" s="12">
        <f t="shared" si="126"/>
        <v>95814532.0625</v>
      </c>
    </row>
    <row r="34" spans="2:69" x14ac:dyDescent="0.25">
      <c r="B34" t="s">
        <v>238</v>
      </c>
      <c r="C34" t="s">
        <v>245</v>
      </c>
      <c r="D34" s="158" t="s">
        <v>253</v>
      </c>
      <c r="E34" s="25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25"/>
      <c r="S34" s="192"/>
      <c r="T34" s="192"/>
      <c r="U34" s="192"/>
      <c r="V34" s="192"/>
      <c r="W34" s="192"/>
      <c r="X34" s="192"/>
      <c r="Y34" s="192"/>
      <c r="Z34" s="192"/>
      <c r="AA34" s="192"/>
      <c r="AB34" s="192"/>
      <c r="AC34" s="192"/>
      <c r="AD34" s="192"/>
      <c r="AE34" s="142"/>
      <c r="AF34" s="191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43">
        <f t="shared" ref="AR34:BG34" si="127">(AR16-SUM(AR22:AR24))/AR16</f>
        <v>-115.86815449010652</v>
      </c>
      <c r="AS34" s="143">
        <f t="shared" si="127"/>
        <v>-193.78025748351087</v>
      </c>
      <c r="AT34" s="143">
        <f t="shared" si="127"/>
        <v>-96.390128741755433</v>
      </c>
      <c r="AU34" s="143">
        <f t="shared" si="127"/>
        <v>-29.571037570279248</v>
      </c>
      <c r="AV34" s="143">
        <f t="shared" si="127"/>
        <v>-36.220516235413491</v>
      </c>
      <c r="AW34" s="143">
        <f t="shared" si="127"/>
        <v>-24.583928571428569</v>
      </c>
      <c r="AX34" s="143">
        <f t="shared" si="127"/>
        <v>7.6388888888888886E-3</v>
      </c>
      <c r="AY34" s="143">
        <f t="shared" si="127"/>
        <v>7.6388888888888886E-3</v>
      </c>
      <c r="AZ34" s="143">
        <f t="shared" si="127"/>
        <v>7.6388888888888886E-3</v>
      </c>
      <c r="BA34" s="143">
        <f t="shared" si="127"/>
        <v>7.6388888888888886E-3</v>
      </c>
      <c r="BB34" s="143">
        <f t="shared" si="127"/>
        <v>7.3796296296296485E-2</v>
      </c>
      <c r="BC34" s="143">
        <f t="shared" si="127"/>
        <v>7.3796296296296485E-2</v>
      </c>
      <c r="BD34" s="143">
        <f t="shared" si="127"/>
        <v>7.6388888888888886E-3</v>
      </c>
      <c r="BE34" s="143">
        <f t="shared" si="127"/>
        <v>7.6388888888888886E-3</v>
      </c>
      <c r="BF34" s="143">
        <f t="shared" si="127"/>
        <v>7.6388888888888886E-3</v>
      </c>
      <c r="BG34" s="143">
        <f t="shared" si="127"/>
        <v>7.6388888888888886E-3</v>
      </c>
    </row>
    <row r="35" spans="2:69" x14ac:dyDescent="0.25">
      <c r="B35" t="s">
        <v>239</v>
      </c>
      <c r="C35" t="s">
        <v>245</v>
      </c>
      <c r="D35" s="158" t="s">
        <v>178</v>
      </c>
      <c r="E35" s="25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25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42"/>
      <c r="AF35" s="191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43"/>
      <c r="AS35" s="143"/>
      <c r="AT35" s="143"/>
      <c r="AU35" s="143"/>
      <c r="AV35" s="143"/>
      <c r="AW35" s="143"/>
      <c r="AX35" s="143">
        <f t="shared" ref="AX35:BG35" si="128">(SUM(AX17:AX18)-SUM(AX26:AX28))/(SUM(AX17:AX18))</f>
        <v>2.0157499999999998E-2</v>
      </c>
      <c r="AY35" s="143">
        <f t="shared" si="128"/>
        <v>2.0157499999999998E-2</v>
      </c>
      <c r="AZ35" s="143">
        <f t="shared" si="128"/>
        <v>2.0157499999999998E-2</v>
      </c>
      <c r="BA35" s="143">
        <f t="shared" si="128"/>
        <v>0.24627499999999999</v>
      </c>
      <c r="BB35" s="143">
        <f t="shared" si="128"/>
        <v>0.24627499999999999</v>
      </c>
      <c r="BC35" s="143">
        <f t="shared" si="128"/>
        <v>0.24627499999999999</v>
      </c>
      <c r="BD35" s="143">
        <f t="shared" si="128"/>
        <v>0.39701999999999998</v>
      </c>
      <c r="BE35" s="143">
        <f t="shared" si="128"/>
        <v>0.47239249999999994</v>
      </c>
      <c r="BF35" s="143">
        <f t="shared" si="128"/>
        <v>0.51023832630878441</v>
      </c>
      <c r="BG35" s="143">
        <f t="shared" si="128"/>
        <v>0.54789365763546793</v>
      </c>
      <c r="BH35" t="s">
        <v>179</v>
      </c>
    </row>
    <row r="36" spans="2:69" x14ac:dyDescent="0.25">
      <c r="B36" t="s">
        <v>240</v>
      </c>
      <c r="C36" t="s">
        <v>245</v>
      </c>
      <c r="D36" s="158" t="s">
        <v>180</v>
      </c>
      <c r="E36" s="26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26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42"/>
      <c r="AF36" s="193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44"/>
      <c r="AS36" s="177"/>
      <c r="AT36" s="177"/>
      <c r="AU36" s="27"/>
      <c r="AV36" s="177"/>
      <c r="AW36" s="177"/>
      <c r="AX36" s="273"/>
      <c r="AY36" s="273"/>
      <c r="AZ36" s="273"/>
      <c r="BA36" s="143">
        <f t="shared" ref="BA36:BG36" si="129">(SUM(BA19)-SUM(BA30:BA31))/(SUM(BA19))</f>
        <v>7.8780555555555562E-2</v>
      </c>
      <c r="BB36" s="143">
        <f t="shared" si="129"/>
        <v>7.8780555555555562E-2</v>
      </c>
      <c r="BC36" s="143">
        <f t="shared" si="129"/>
        <v>7.8780555555555562E-2</v>
      </c>
      <c r="BD36" s="143">
        <f t="shared" si="129"/>
        <v>0.12065416666666667</v>
      </c>
      <c r="BE36" s="143">
        <f t="shared" si="129"/>
        <v>0.16252777777777777</v>
      </c>
      <c r="BF36" s="143">
        <f t="shared" si="129"/>
        <v>0.45564305555555557</v>
      </c>
      <c r="BG36" s="143">
        <f t="shared" si="129"/>
        <v>0.58126388888888891</v>
      </c>
    </row>
    <row r="37" spans="2:69" x14ac:dyDescent="0.25">
      <c r="B37" t="s">
        <v>241</v>
      </c>
      <c r="C37" t="s">
        <v>242</v>
      </c>
      <c r="D37" s="30" t="s">
        <v>181</v>
      </c>
      <c r="E37" s="138">
        <f>SUM(F37:Q37)</f>
        <v>205416</v>
      </c>
      <c r="F37" s="199">
        <f>SUM('R&amp;D budget'!C11:C23)</f>
        <v>0</v>
      </c>
      <c r="G37" s="199">
        <f>SUM('R&amp;D budget'!D11:D23)</f>
        <v>0</v>
      </c>
      <c r="H37" s="199">
        <f>SUM('R&amp;D budget'!E11:E23)</f>
        <v>0</v>
      </c>
      <c r="I37" s="199">
        <f>SUM('R&amp;D budget'!F11:F23)</f>
        <v>0</v>
      </c>
      <c r="J37" s="199">
        <f>SUM('R&amp;D budget'!G11:G23)</f>
        <v>0</v>
      </c>
      <c r="K37" s="199">
        <f>SUM('R&amp;D budget'!H11:H23)</f>
        <v>0</v>
      </c>
      <c r="L37" s="199">
        <f>SUM('R&amp;D budget'!I11:I23)</f>
        <v>17830</v>
      </c>
      <c r="M37" s="199">
        <f>SUM('R&amp;D budget'!J11:J23)</f>
        <v>17830</v>
      </c>
      <c r="N37" s="199">
        <f>SUM('R&amp;D budget'!K11:K23)</f>
        <v>33086</v>
      </c>
      <c r="O37" s="199">
        <f>SUM('R&amp;D budget'!L11:L23)</f>
        <v>40706</v>
      </c>
      <c r="P37" s="199">
        <f>SUM('R&amp;D budget'!M11:M23)</f>
        <v>47982</v>
      </c>
      <c r="Q37" s="199">
        <f>SUM('R&amp;D budget'!N11:N23)</f>
        <v>47982</v>
      </c>
      <c r="R37" s="139">
        <f>SUM(S37:AD37)</f>
        <v>711512</v>
      </c>
      <c r="S37" s="199">
        <f>SUM('R&amp;D budget'!O11:O23)</f>
        <v>54244.666666666672</v>
      </c>
      <c r="T37" s="199">
        <f>SUM('R&amp;D budget'!P11:P23)</f>
        <v>54244.666666666672</v>
      </c>
      <c r="U37" s="199">
        <f>SUM('R&amp;D budget'!Q11:Q23)</f>
        <v>54244.666666666672</v>
      </c>
      <c r="V37" s="199">
        <f>SUM('R&amp;D budget'!R11:R23)</f>
        <v>54244.666666666672</v>
      </c>
      <c r="W37" s="199">
        <f>SUM('R&amp;D budget'!S11:S23)</f>
        <v>54244.666666666672</v>
      </c>
      <c r="X37" s="199">
        <f>SUM('R&amp;D budget'!T11:T23)</f>
        <v>54244.666666666672</v>
      </c>
      <c r="Y37" s="199">
        <f>SUM('R&amp;D budget'!U11:U23)</f>
        <v>60350.666666666672</v>
      </c>
      <c r="Z37" s="199">
        <f>SUM('R&amp;D budget'!V11:V23)</f>
        <v>60350.666666666672</v>
      </c>
      <c r="AA37" s="199">
        <f>SUM('R&amp;D budget'!W11:W23)</f>
        <v>60350.666666666672</v>
      </c>
      <c r="AB37" s="199">
        <f>SUM('R&amp;D budget'!X11:X23)</f>
        <v>68330.666666666672</v>
      </c>
      <c r="AC37" s="199">
        <f>SUM('R&amp;D budget'!Y11:Y23)</f>
        <v>68330.666666666672</v>
      </c>
      <c r="AD37" s="199">
        <f>SUM('R&amp;D budget'!Z11:Z23)</f>
        <v>68330.666666666672</v>
      </c>
      <c r="AE37" s="139">
        <f>SUM(AF37:AQ37)</f>
        <v>994591.99999999988</v>
      </c>
      <c r="AF37" s="188">
        <f>SUM('R&amp;D budget'!AA11:AA23)</f>
        <v>75606.666666666672</v>
      </c>
      <c r="AG37" s="174">
        <f>SUM('R&amp;D budget'!AB11:AB23)</f>
        <v>75606.666666666672</v>
      </c>
      <c r="AH37" s="174">
        <f>SUM('R&amp;D budget'!AC11:AC23)</f>
        <v>75606.666666666672</v>
      </c>
      <c r="AI37" s="174">
        <f>SUM('R&amp;D budget'!AD11:AD23)</f>
        <v>75606.666666666672</v>
      </c>
      <c r="AJ37" s="174">
        <f>SUM('R&amp;D budget'!AE11:AE23)</f>
        <v>75606.666666666672</v>
      </c>
      <c r="AK37" s="174">
        <f>SUM('R&amp;D budget'!AF11:AF23)</f>
        <v>75606.666666666672</v>
      </c>
      <c r="AL37" s="174">
        <f>SUM('R&amp;D budget'!AG11:AG23)</f>
        <v>90158.666666666672</v>
      </c>
      <c r="AM37" s="174">
        <f>SUM('R&amp;D budget'!AH11:AH23)</f>
        <v>90158.666666666672</v>
      </c>
      <c r="AN37" s="174">
        <f>SUM('R&amp;D budget'!AI11:AI23)</f>
        <v>90158.666666666672</v>
      </c>
      <c r="AO37" s="174">
        <f>SUM('R&amp;D budget'!AJ11:AJ23)</f>
        <v>90158.666666666672</v>
      </c>
      <c r="AP37" s="174">
        <f>SUM('R&amp;D budget'!AK11:AK23)</f>
        <v>90158.666666666672</v>
      </c>
      <c r="AQ37" s="174">
        <f>SUM('R&amp;D budget'!AL11:AL23)</f>
        <v>90158.666666666672</v>
      </c>
      <c r="AR37" s="15">
        <f>AS37+AT37</f>
        <v>1147924.9333333331</v>
      </c>
      <c r="AS37" s="174">
        <f>(AE37/AE14)*AS14*0.5</f>
        <v>538737.33333333326</v>
      </c>
      <c r="AT37" s="174">
        <f>(AS37/AS14)*AT14*1.05</f>
        <v>609187.6</v>
      </c>
      <c r="AU37" s="12">
        <f>AV37+AW37</f>
        <v>1317834.3999999999</v>
      </c>
      <c r="AV37" s="173">
        <f>(AE37/AE14)*AV14*0.5</f>
        <v>621619.99999999988</v>
      </c>
      <c r="AW37" s="173">
        <f>AV37/AV14*AW14*1.05</f>
        <v>696214.39999999991</v>
      </c>
      <c r="AX37" s="13">
        <f>AY37+AZ37</f>
        <v>1472928.5899999999</v>
      </c>
      <c r="AY37" s="173">
        <f>(AW37/AW14)*AY14</f>
        <v>696214.39999999991</v>
      </c>
      <c r="AZ37" s="173">
        <f>(AY37/AY14)*1.05*AZ14</f>
        <v>776714.18999999983</v>
      </c>
      <c r="BA37" s="12">
        <f>BB37+BC37</f>
        <v>1640237.6129999999</v>
      </c>
      <c r="BB37" s="173">
        <f>(AZ37/AZ14)*BB14</f>
        <v>776714.18999999983</v>
      </c>
      <c r="BC37" s="173">
        <f>(BB37/BB14)*1.05*BC14</f>
        <v>863523.42299999995</v>
      </c>
      <c r="BD37" s="13">
        <f>BA37/BA14*BD14*1.05</f>
        <v>1817930.0210749998</v>
      </c>
      <c r="BE37" s="22"/>
      <c r="BF37" s="22"/>
      <c r="BG37" s="22"/>
    </row>
    <row r="38" spans="2:69" x14ac:dyDescent="0.25">
      <c r="B38" t="s">
        <v>241</v>
      </c>
      <c r="C38" t="s">
        <v>242</v>
      </c>
      <c r="D38" s="30" t="s">
        <v>184</v>
      </c>
      <c r="E38" s="138">
        <f>SUM(F38:Q38)</f>
        <v>82700</v>
      </c>
      <c r="F38" s="199">
        <f>SUM('R&amp;D budget'!C24:C25,'R&amp;D budget'!C32,'R&amp;D budget'!C31)</f>
        <v>50000</v>
      </c>
      <c r="G38" s="199">
        <f>SUM('R&amp;D budget'!D24:D25,'R&amp;D budget'!D32,'R&amp;D budget'!D31)</f>
        <v>0</v>
      </c>
      <c r="H38" s="199">
        <f>SUM('R&amp;D budget'!E24:E25,'R&amp;D budget'!E32,'R&amp;D budget'!E31)</f>
        <v>0</v>
      </c>
      <c r="I38" s="199">
        <f>SUM('R&amp;D budget'!F24:F25,'R&amp;D budget'!F32,'R&amp;D budget'!F31)</f>
        <v>0</v>
      </c>
      <c r="J38" s="199">
        <f>SUM('R&amp;D budget'!G24:G25,'R&amp;D budget'!G32,'R&amp;D budget'!G31)</f>
        <v>0</v>
      </c>
      <c r="K38" s="199">
        <f>SUM('R&amp;D budget'!H24:H25,'R&amp;D budget'!H32,'R&amp;D budget'!H31)</f>
        <v>5000</v>
      </c>
      <c r="L38" s="199">
        <f>SUM('R&amp;D budget'!I24:I25,'R&amp;D budget'!I32,'R&amp;D budget'!I31)</f>
        <v>21000</v>
      </c>
      <c r="M38" s="199">
        <f>SUM('R&amp;D budget'!J24:J25,'R&amp;D budget'!J32,'R&amp;D budget'!J31)</f>
        <v>1500</v>
      </c>
      <c r="N38" s="199">
        <f>SUM('R&amp;D budget'!K24:K25,'R&amp;D budget'!K32,'R&amp;D budget'!K31)</f>
        <v>1000</v>
      </c>
      <c r="O38" s="199">
        <f>SUM('R&amp;D budget'!L24:L25,'R&amp;D budget'!L32,'R&amp;D budget'!L31)</f>
        <v>1500</v>
      </c>
      <c r="P38" s="199">
        <f>SUM('R&amp;D budget'!M24:M25,'R&amp;D budget'!M32,'R&amp;D budget'!M31)</f>
        <v>1000</v>
      </c>
      <c r="Q38" s="199">
        <f>SUM('R&amp;D budget'!N24:N25,'R&amp;D budget'!N32,'R&amp;D budget'!N31)</f>
        <v>1700</v>
      </c>
      <c r="R38" s="139">
        <f>SUM(S38:AD38)</f>
        <v>51200</v>
      </c>
      <c r="S38" s="199">
        <f>SUM('R&amp;D budget'!O24:O25,'R&amp;D budget'!O32,'R&amp;D budget'!O31)</f>
        <v>1000</v>
      </c>
      <c r="T38" s="199">
        <f>SUM('R&amp;D budget'!P24:P25,'R&amp;D budget'!P32,'R&amp;D budget'!P31)</f>
        <v>1900</v>
      </c>
      <c r="U38" s="199">
        <f>SUM('R&amp;D budget'!Q24:Q25,'R&amp;D budget'!Q32,'R&amp;D budget'!Q31)</f>
        <v>1000</v>
      </c>
      <c r="V38" s="199">
        <f>SUM('R&amp;D budget'!R24:R25,'R&amp;D budget'!R32,'R&amp;D budget'!R31)</f>
        <v>21900</v>
      </c>
      <c r="W38" s="199">
        <f>SUM('R&amp;D budget'!S24:S25,'R&amp;D budget'!S32,'R&amp;D budget'!S31)</f>
        <v>6000</v>
      </c>
      <c r="X38" s="199">
        <f>SUM('R&amp;D budget'!T24:T25,'R&amp;D budget'!T32,'R&amp;D budget'!T31)</f>
        <v>2900</v>
      </c>
      <c r="Y38" s="199">
        <f>SUM('R&amp;D budget'!U24:U25,'R&amp;D budget'!U32,'R&amp;D budget'!U31)</f>
        <v>2000</v>
      </c>
      <c r="Z38" s="199">
        <f>SUM('R&amp;D budget'!V24:V25,'R&amp;D budget'!V32,'R&amp;D budget'!V31)</f>
        <v>3500</v>
      </c>
      <c r="AA38" s="199">
        <f>SUM('R&amp;D budget'!W24:W25,'R&amp;D budget'!W32,'R&amp;D budget'!W31)</f>
        <v>2000</v>
      </c>
      <c r="AB38" s="199">
        <f>SUM('R&amp;D budget'!X24:X25,'R&amp;D budget'!X32,'R&amp;D budget'!X31)</f>
        <v>3500</v>
      </c>
      <c r="AC38" s="199">
        <f>SUM('R&amp;D budget'!Y24:Y25,'R&amp;D budget'!Y32,'R&amp;D budget'!Y31)</f>
        <v>2000</v>
      </c>
      <c r="AD38" s="199">
        <f>SUM('R&amp;D budget'!Z24:Z25,'R&amp;D budget'!Z32,'R&amp;D budget'!Z31)</f>
        <v>3500</v>
      </c>
      <c r="AE38" s="139">
        <f>SUM(AF38:AQ38)</f>
        <v>58000</v>
      </c>
      <c r="AF38" s="188">
        <f>SUM('R&amp;D budget'!AA24:AA25,'R&amp;D budget'!AA32,'R&amp;D budget'!AA31)</f>
        <v>2000</v>
      </c>
      <c r="AG38" s="174">
        <f>SUM('R&amp;D budget'!AB24:AB25,'R&amp;D budget'!AB32,'R&amp;D budget'!AB31)</f>
        <v>3500</v>
      </c>
      <c r="AH38" s="174">
        <f>SUM('R&amp;D budget'!AC24:AC25,'R&amp;D budget'!AC32,'R&amp;D budget'!AC31)</f>
        <v>2000</v>
      </c>
      <c r="AI38" s="174">
        <f>SUM('R&amp;D budget'!AD24:AD25,'R&amp;D budget'!AD32,'R&amp;D budget'!AD31)</f>
        <v>23500</v>
      </c>
      <c r="AJ38" s="174">
        <f>SUM('R&amp;D budget'!AE24:AE25,'R&amp;D budget'!AE32,'R&amp;D budget'!AE31)</f>
        <v>7000</v>
      </c>
      <c r="AK38" s="174">
        <f>SUM('R&amp;D budget'!AF24:AF25,'R&amp;D budget'!AF32,'R&amp;D budget'!AF31)</f>
        <v>3500</v>
      </c>
      <c r="AL38" s="174">
        <f>SUM('R&amp;D budget'!AG24:AG25,'R&amp;D budget'!AG32,'R&amp;D budget'!AG31)</f>
        <v>2000</v>
      </c>
      <c r="AM38" s="174">
        <f>SUM('R&amp;D budget'!AH24:AH25,'R&amp;D budget'!AH32,'R&amp;D budget'!AH31)</f>
        <v>3500</v>
      </c>
      <c r="AN38" s="174">
        <f>SUM('R&amp;D budget'!AI24:AI25,'R&amp;D budget'!AI32,'R&amp;D budget'!AI31)</f>
        <v>2000</v>
      </c>
      <c r="AO38" s="174">
        <f>SUM('R&amp;D budget'!AJ24:AJ25,'R&amp;D budget'!AJ32,'R&amp;D budget'!AJ31)</f>
        <v>3500</v>
      </c>
      <c r="AP38" s="174">
        <f>SUM('R&amp;D budget'!AK24:AK25,'R&amp;D budget'!AK32,'R&amp;D budget'!AK31)</f>
        <v>2000</v>
      </c>
      <c r="AQ38" s="174">
        <f>SUM('R&amp;D budget'!AL24:AL25,'R&amp;D budget'!AL32,'R&amp;D budget'!AL31)</f>
        <v>3500</v>
      </c>
      <c r="AR38" s="15">
        <f>AS38+AT38</f>
        <v>80112.5</v>
      </c>
      <c r="AS38" s="174">
        <f>AE38*0.65</f>
        <v>37700</v>
      </c>
      <c r="AT38" s="174">
        <f>AS38*1.125</f>
        <v>42412.5</v>
      </c>
      <c r="AU38" s="14">
        <f>AV38+AW38</f>
        <v>110655.390625</v>
      </c>
      <c r="AV38" s="174">
        <f>AR38*0.65</f>
        <v>52073.125</v>
      </c>
      <c r="AW38" s="174">
        <f>AV38*1.125</f>
        <v>58582.265625</v>
      </c>
      <c r="AX38" s="13">
        <f>AY38+AZ38</f>
        <v>120288.91875000001</v>
      </c>
      <c r="AY38" s="173">
        <f>AV38*1.1</f>
        <v>57280.437500000007</v>
      </c>
      <c r="AZ38" s="173">
        <f>AY38*1.1</f>
        <v>63008.481250000012</v>
      </c>
      <c r="BA38" s="12">
        <f>BB38+BC38</f>
        <v>132317.81062500004</v>
      </c>
      <c r="BB38" s="173">
        <f>AY38*1.1</f>
        <v>63008.481250000012</v>
      </c>
      <c r="BC38" s="173">
        <f>BB38*1.1</f>
        <v>69309.329375000016</v>
      </c>
      <c r="BD38" s="13">
        <f>BC38*2.05</f>
        <v>142084.12521875001</v>
      </c>
      <c r="BE38" s="22"/>
      <c r="BF38" s="22"/>
      <c r="BG38" s="22"/>
    </row>
    <row r="39" spans="2:69" ht="16.5" thickBot="1" x14ac:dyDescent="0.3">
      <c r="B39" t="s">
        <v>241</v>
      </c>
      <c r="C39" t="s">
        <v>242</v>
      </c>
      <c r="D39" s="159" t="s">
        <v>185</v>
      </c>
      <c r="E39" s="140">
        <f>SUM(F39:Q39)</f>
        <v>86000</v>
      </c>
      <c r="F39" s="200">
        <f>SUM('R&amp;D budget'!C30,'R&amp;D budget'!C33,'R&amp;D budget'!C34,'R&amp;D budget'!C35,'R&amp;D budget'!C36)</f>
        <v>0</v>
      </c>
      <c r="G39" s="200">
        <f>SUM('R&amp;D budget'!D30,'R&amp;D budget'!D33,'R&amp;D budget'!D34,'R&amp;D budget'!D35,'R&amp;D budget'!D36)</f>
        <v>0</v>
      </c>
      <c r="H39" s="200">
        <f>SUM('R&amp;D budget'!E30,'R&amp;D budget'!E33,'R&amp;D budget'!E34,'R&amp;D budget'!E35,'R&amp;D budget'!E36)</f>
        <v>0</v>
      </c>
      <c r="I39" s="200">
        <f>SUM('R&amp;D budget'!F30,'R&amp;D budget'!F33,'R&amp;D budget'!F34,'R&amp;D budget'!F35,'R&amp;D budget'!F36)</f>
        <v>0</v>
      </c>
      <c r="J39" s="200">
        <f>SUM('R&amp;D budget'!G30,'R&amp;D budget'!G33,'R&amp;D budget'!G34,'R&amp;D budget'!G35,'R&amp;D budget'!G36)</f>
        <v>0</v>
      </c>
      <c r="K39" s="200">
        <f>SUM('R&amp;D budget'!H30,'R&amp;D budget'!H33,'R&amp;D budget'!H34,'R&amp;D budget'!H35,'R&amp;D budget'!H36)</f>
        <v>0</v>
      </c>
      <c r="L39" s="200">
        <f>SUM('R&amp;D budget'!I30,'R&amp;D budget'!I33,'R&amp;D budget'!I34,'R&amp;D budget'!I35,'R&amp;D budget'!I36)</f>
        <v>8800</v>
      </c>
      <c r="M39" s="200">
        <f>SUM('R&amp;D budget'!J30,'R&amp;D budget'!J33,'R&amp;D budget'!J34,'R&amp;D budget'!J35,'R&amp;D budget'!J36)</f>
        <v>8800</v>
      </c>
      <c r="N39" s="200">
        <f>SUM('R&amp;D budget'!K30,'R&amp;D budget'!K33,'R&amp;D budget'!K34,'R&amp;D budget'!K35,'R&amp;D budget'!K36)</f>
        <v>18800</v>
      </c>
      <c r="O39" s="200">
        <f>SUM('R&amp;D budget'!L30,'R&amp;D budget'!L33,'R&amp;D budget'!L34,'R&amp;D budget'!L35,'R&amp;D budget'!L36)</f>
        <v>13200</v>
      </c>
      <c r="P39" s="200">
        <f>SUM('R&amp;D budget'!M30,'R&amp;D budget'!M33,'R&amp;D budget'!M34,'R&amp;D budget'!M35,'R&amp;D budget'!M36)</f>
        <v>23200</v>
      </c>
      <c r="Q39" s="200">
        <f>SUM('R&amp;D budget'!N30,'R&amp;D budget'!N33,'R&amp;D budget'!N34,'R&amp;D budget'!N35,'R&amp;D budget'!N36)</f>
        <v>13200</v>
      </c>
      <c r="R39" s="141">
        <f t="shared" ref="R39" si="130">SUM(S39:AD39)</f>
        <v>1275100</v>
      </c>
      <c r="S39" s="200">
        <f>SUM('R&amp;D budget'!O30,'R&amp;D budget'!O33,'R&amp;D budget'!O34,'R&amp;D budget'!O35,'R&amp;D budget'!O36)</f>
        <v>125100</v>
      </c>
      <c r="T39" s="200">
        <f>SUM('R&amp;D budget'!P30,'R&amp;D budget'!P33,'R&amp;D budget'!P34,'R&amp;D budget'!P35,'R&amp;D budget'!P36)</f>
        <v>17600</v>
      </c>
      <c r="U39" s="200">
        <f>SUM('R&amp;D budget'!Q30,'R&amp;D budget'!Q33,'R&amp;D budget'!Q34,'R&amp;D budget'!Q35,'R&amp;D budget'!Q36)</f>
        <v>17600</v>
      </c>
      <c r="V39" s="200">
        <f>SUM('R&amp;D budget'!R30,'R&amp;D budget'!R33,'R&amp;D budget'!R34,'R&amp;D budget'!R35,'R&amp;D budget'!R36)</f>
        <v>17600</v>
      </c>
      <c r="W39" s="200">
        <f>SUM('R&amp;D budget'!S30,'R&amp;D budget'!S33,'R&amp;D budget'!S34,'R&amp;D budget'!S35,'R&amp;D budget'!S36)</f>
        <v>747600</v>
      </c>
      <c r="X39" s="200">
        <f>SUM('R&amp;D budget'!T30,'R&amp;D budget'!T33,'R&amp;D budget'!T34,'R&amp;D budget'!T35,'R&amp;D budget'!T36)</f>
        <v>17600</v>
      </c>
      <c r="Y39" s="200">
        <f>SUM('R&amp;D budget'!U30,'R&amp;D budget'!U33,'R&amp;D budget'!U34,'R&amp;D budget'!U35,'R&amp;D budget'!U36)</f>
        <v>22000</v>
      </c>
      <c r="Z39" s="200">
        <f>SUM('R&amp;D budget'!V30,'R&amp;D budget'!V33,'R&amp;D budget'!V34,'R&amp;D budget'!V35,'R&amp;D budget'!V36)</f>
        <v>22000</v>
      </c>
      <c r="AA39" s="200">
        <f>SUM('R&amp;D budget'!W30,'R&amp;D budget'!W33,'R&amp;D budget'!W34,'R&amp;D budget'!W35,'R&amp;D budget'!W36)</f>
        <v>52000</v>
      </c>
      <c r="AB39" s="200">
        <f>SUM('R&amp;D budget'!X30,'R&amp;D budget'!X33,'R&amp;D budget'!X34,'R&amp;D budget'!X35,'R&amp;D budget'!X36)</f>
        <v>22000</v>
      </c>
      <c r="AC39" s="200">
        <f>SUM('R&amp;D budget'!Y30,'R&amp;D budget'!Y33,'R&amp;D budget'!Y34,'R&amp;D budget'!Y35,'R&amp;D budget'!Y36)</f>
        <v>192000</v>
      </c>
      <c r="AD39" s="200">
        <f>SUM('R&amp;D budget'!Z30,'R&amp;D budget'!Z33,'R&amp;D budget'!Z34,'R&amp;D budget'!Z35,'R&amp;D budget'!Z36)</f>
        <v>22000</v>
      </c>
      <c r="AE39" s="145">
        <f t="shared" ref="AE39" si="131">SUM(AF39:AQ39)</f>
        <v>1484000</v>
      </c>
      <c r="AF39" s="195">
        <f>SUM('R&amp;D budget'!AA30,'R&amp;D budget'!AA33,'R&amp;D budget'!AA34,'R&amp;D budget'!AA35,'R&amp;D budget'!AA36)</f>
        <v>52000</v>
      </c>
      <c r="AG39" s="178">
        <f>SUM('R&amp;D budget'!AB30,'R&amp;D budget'!AB33,'R&amp;D budget'!AB34,'R&amp;D budget'!AB35,'R&amp;D budget'!AB36)</f>
        <v>22000</v>
      </c>
      <c r="AH39" s="178">
        <f>SUM('R&amp;D budget'!AC30,'R&amp;D budget'!AC33,'R&amp;D budget'!AC34,'R&amp;D budget'!AC35,'R&amp;D budget'!AC36)</f>
        <v>22000</v>
      </c>
      <c r="AI39" s="178">
        <f>SUM('R&amp;D budget'!AD30,'R&amp;D budget'!AD33,'R&amp;D budget'!AD34,'R&amp;D budget'!AD35,'R&amp;D budget'!AD36)</f>
        <v>22000</v>
      </c>
      <c r="AJ39" s="178">
        <f>SUM('R&amp;D budget'!AE30,'R&amp;D budget'!AE33,'R&amp;D budget'!AE34,'R&amp;D budget'!AE35,'R&amp;D budget'!AE36)</f>
        <v>752000</v>
      </c>
      <c r="AK39" s="178">
        <f>SUM('R&amp;D budget'!AF30,'R&amp;D budget'!AF33,'R&amp;D budget'!AF34,'R&amp;D budget'!AF35,'R&amp;D budget'!AF36)</f>
        <v>22000</v>
      </c>
      <c r="AL39" s="178">
        <f>SUM('R&amp;D budget'!AG30,'R&amp;D budget'!AG33,'R&amp;D budget'!AG34,'R&amp;D budget'!AG35,'R&amp;D budget'!AG36)</f>
        <v>22000</v>
      </c>
      <c r="AM39" s="178">
        <f>SUM('R&amp;D budget'!AH30,'R&amp;D budget'!AH33,'R&amp;D budget'!AH34,'R&amp;D budget'!AH35,'R&amp;D budget'!AH36)</f>
        <v>22000</v>
      </c>
      <c r="AN39" s="178">
        <f>SUM('R&amp;D budget'!AI30,'R&amp;D budget'!AI33,'R&amp;D budget'!AI34,'R&amp;D budget'!AI35,'R&amp;D budget'!AI36)</f>
        <v>252000</v>
      </c>
      <c r="AO39" s="178">
        <f>SUM('R&amp;D budget'!AJ30,'R&amp;D budget'!AJ33,'R&amp;D budget'!AJ34,'R&amp;D budget'!AJ35,'R&amp;D budget'!AJ36)</f>
        <v>22000</v>
      </c>
      <c r="AP39" s="178">
        <f>SUM('R&amp;D budget'!AK30,'R&amp;D budget'!AK33,'R&amp;D budget'!AK34,'R&amp;D budget'!AK35,'R&amp;D budget'!AK36)</f>
        <v>22000</v>
      </c>
      <c r="AQ39" s="178">
        <f>SUM('R&amp;D budget'!AL30,'R&amp;D budget'!AL33,'R&amp;D budget'!AL34,'R&amp;D budget'!AL35,'R&amp;D budget'!AL36)</f>
        <v>252000</v>
      </c>
      <c r="AR39" s="29">
        <f>AS39+AT39</f>
        <v>987840</v>
      </c>
      <c r="AS39" s="178">
        <f>(AE39-700000)*0.6</f>
        <v>470400</v>
      </c>
      <c r="AT39" s="178">
        <f>AS39*1.1</f>
        <v>517440.00000000006</v>
      </c>
      <c r="AU39" s="24">
        <f>AV39+AW39</f>
        <v>1086624.0000000002</v>
      </c>
      <c r="AV39" s="178">
        <f>AS39*1.1</f>
        <v>517440.00000000006</v>
      </c>
      <c r="AW39" s="178">
        <f>AT39*1.1</f>
        <v>569184.00000000012</v>
      </c>
      <c r="AX39" s="131">
        <f>AY39+AZ39</f>
        <v>1195286.4000000004</v>
      </c>
      <c r="AY39" s="205">
        <f>AV39*1.1</f>
        <v>569184.00000000012</v>
      </c>
      <c r="AZ39" s="205">
        <f>AY39*1.1</f>
        <v>626102.40000000014</v>
      </c>
      <c r="BA39" s="204">
        <f>BB39+BC39</f>
        <v>1314815.0400000005</v>
      </c>
      <c r="BB39" s="205">
        <f>AY39*1.1</f>
        <v>626102.40000000014</v>
      </c>
      <c r="BC39" s="205">
        <f>BB39*1.1</f>
        <v>688712.64000000025</v>
      </c>
      <c r="BD39" s="131">
        <f>BC39*2.05</f>
        <v>1411860.9120000005</v>
      </c>
      <c r="BE39" s="16"/>
      <c r="BF39" s="16"/>
      <c r="BG39" s="16"/>
    </row>
    <row r="40" spans="2:69" x14ac:dyDescent="0.25">
      <c r="B40" t="s">
        <v>241</v>
      </c>
      <c r="C40" t="s">
        <v>245</v>
      </c>
      <c r="D40" s="30" t="s">
        <v>186</v>
      </c>
      <c r="E40" s="138">
        <f>SUMIF($C$37:$C$39,"R&amp;D",E37:E39)</f>
        <v>374116</v>
      </c>
      <c r="F40" s="138">
        <f t="shared" ref="F40:BD40" si="132">SUMIF($C$37:$C$39,"R&amp;D",F37:F39)</f>
        <v>50000</v>
      </c>
      <c r="G40" s="138">
        <f t="shared" si="132"/>
        <v>0</v>
      </c>
      <c r="H40" s="138">
        <f t="shared" si="132"/>
        <v>0</v>
      </c>
      <c r="I40" s="138">
        <f t="shared" si="132"/>
        <v>0</v>
      </c>
      <c r="J40" s="138">
        <f t="shared" si="132"/>
        <v>0</v>
      </c>
      <c r="K40" s="138">
        <f t="shared" si="132"/>
        <v>5000</v>
      </c>
      <c r="L40" s="138">
        <f t="shared" si="132"/>
        <v>47630</v>
      </c>
      <c r="M40" s="138">
        <f t="shared" si="132"/>
        <v>28130</v>
      </c>
      <c r="N40" s="138">
        <f t="shared" si="132"/>
        <v>52886</v>
      </c>
      <c r="O40" s="138">
        <f t="shared" si="132"/>
        <v>55406</v>
      </c>
      <c r="P40" s="138">
        <f t="shared" si="132"/>
        <v>72182</v>
      </c>
      <c r="Q40" s="138">
        <f t="shared" si="132"/>
        <v>62882</v>
      </c>
      <c r="R40" s="138">
        <f t="shared" si="132"/>
        <v>2037812</v>
      </c>
      <c r="S40" s="138">
        <f t="shared" si="132"/>
        <v>180344.66666666669</v>
      </c>
      <c r="T40" s="138">
        <f t="shared" si="132"/>
        <v>73744.666666666672</v>
      </c>
      <c r="U40" s="138">
        <f t="shared" si="132"/>
        <v>72844.666666666672</v>
      </c>
      <c r="V40" s="138">
        <f t="shared" si="132"/>
        <v>93744.666666666672</v>
      </c>
      <c r="W40" s="138">
        <f t="shared" si="132"/>
        <v>807844.66666666663</v>
      </c>
      <c r="X40" s="138">
        <f t="shared" si="132"/>
        <v>74744.666666666672</v>
      </c>
      <c r="Y40" s="138">
        <f t="shared" si="132"/>
        <v>84350.666666666672</v>
      </c>
      <c r="Z40" s="138">
        <f t="shared" si="132"/>
        <v>85850.666666666672</v>
      </c>
      <c r="AA40" s="138">
        <f t="shared" si="132"/>
        <v>114350.66666666667</v>
      </c>
      <c r="AB40" s="138">
        <f t="shared" si="132"/>
        <v>93830.666666666672</v>
      </c>
      <c r="AC40" s="138">
        <f t="shared" si="132"/>
        <v>262330.66666666669</v>
      </c>
      <c r="AD40" s="138">
        <f t="shared" si="132"/>
        <v>93830.666666666672</v>
      </c>
      <c r="AE40" s="138">
        <f t="shared" si="132"/>
        <v>2536592</v>
      </c>
      <c r="AF40" s="138">
        <f t="shared" si="132"/>
        <v>129606.66666666667</v>
      </c>
      <c r="AG40" s="138">
        <f t="shared" si="132"/>
        <v>101106.66666666667</v>
      </c>
      <c r="AH40" s="138">
        <f t="shared" si="132"/>
        <v>99606.666666666672</v>
      </c>
      <c r="AI40" s="138">
        <f t="shared" si="132"/>
        <v>121106.66666666667</v>
      </c>
      <c r="AJ40" s="138">
        <f t="shared" si="132"/>
        <v>834606.66666666663</v>
      </c>
      <c r="AK40" s="138">
        <f t="shared" si="132"/>
        <v>101106.66666666667</v>
      </c>
      <c r="AL40" s="138">
        <f t="shared" si="132"/>
        <v>114158.66666666667</v>
      </c>
      <c r="AM40" s="138">
        <f t="shared" si="132"/>
        <v>115658.66666666667</v>
      </c>
      <c r="AN40" s="138">
        <f t="shared" si="132"/>
        <v>344158.66666666669</v>
      </c>
      <c r="AO40" s="138">
        <f t="shared" si="132"/>
        <v>115658.66666666667</v>
      </c>
      <c r="AP40" s="138">
        <f t="shared" si="132"/>
        <v>114158.66666666667</v>
      </c>
      <c r="AQ40" s="138">
        <f t="shared" si="132"/>
        <v>345658.66666666669</v>
      </c>
      <c r="AR40" s="138">
        <f t="shared" si="132"/>
        <v>2215877.4333333331</v>
      </c>
      <c r="AS40" s="138">
        <f t="shared" si="132"/>
        <v>1046837.3333333333</v>
      </c>
      <c r="AT40" s="138">
        <f t="shared" si="132"/>
        <v>1169040.1000000001</v>
      </c>
      <c r="AU40" s="138">
        <f t="shared" si="132"/>
        <v>2515113.7906250004</v>
      </c>
      <c r="AV40" s="138">
        <f t="shared" si="132"/>
        <v>1191133.125</v>
      </c>
      <c r="AW40" s="138">
        <f t="shared" si="132"/>
        <v>1323980.6656249999</v>
      </c>
      <c r="AX40" s="138">
        <f t="shared" si="132"/>
        <v>2788503.9087500004</v>
      </c>
      <c r="AY40" s="138">
        <f t="shared" si="132"/>
        <v>1322678.8374999999</v>
      </c>
      <c r="AZ40" s="138">
        <f t="shared" si="132"/>
        <v>1465825.07125</v>
      </c>
      <c r="BA40" s="138">
        <f t="shared" si="132"/>
        <v>3087370.4636250003</v>
      </c>
      <c r="BB40" s="138">
        <f t="shared" si="132"/>
        <v>1465825.07125</v>
      </c>
      <c r="BC40" s="138">
        <f t="shared" si="132"/>
        <v>1621545.3923750003</v>
      </c>
      <c r="BD40" s="138">
        <f t="shared" si="132"/>
        <v>3371875.0582937505</v>
      </c>
      <c r="BE40" s="138">
        <f>0.05*BE20</f>
        <v>3381898.5</v>
      </c>
      <c r="BF40" s="138">
        <f t="shared" ref="BF40:BG40" si="133">0.05*BF20</f>
        <v>5747398.5</v>
      </c>
      <c r="BG40" s="138">
        <f t="shared" si="133"/>
        <v>8394398.5</v>
      </c>
    </row>
    <row r="41" spans="2:69" x14ac:dyDescent="0.25">
      <c r="B41" t="s">
        <v>241</v>
      </c>
      <c r="C41" t="s">
        <v>243</v>
      </c>
      <c r="D41" s="30" t="s">
        <v>181</v>
      </c>
      <c r="E41" s="138">
        <f>SUM(F41:Q41)</f>
        <v>59536</v>
      </c>
      <c r="F41" s="174">
        <f>SUM('R&amp;D budget'!C39:C42,'R&amp;D budget'!C6,'R&amp;D budget'!C7)</f>
        <v>0</v>
      </c>
      <c r="G41" s="174">
        <f>SUM('R&amp;D budget'!D39:D42,'R&amp;D budget'!D6,'R&amp;D budget'!D7)</f>
        <v>0</v>
      </c>
      <c r="H41" s="174">
        <f>SUM('R&amp;D budget'!E39:E42,'R&amp;D budget'!E6,'R&amp;D budget'!E7)</f>
        <v>0</v>
      </c>
      <c r="I41" s="174">
        <f>SUM('R&amp;D budget'!F39:F42,'R&amp;D budget'!F6,'R&amp;D budget'!F7)</f>
        <v>0</v>
      </c>
      <c r="J41" s="174">
        <f>SUM('R&amp;D budget'!G39:G42,'R&amp;D budget'!G6,'R&amp;D budget'!G7)</f>
        <v>0</v>
      </c>
      <c r="K41" s="174">
        <f>SUM('R&amp;D budget'!H39:H42,'R&amp;D budget'!H6,'R&amp;D budget'!H7)</f>
        <v>0</v>
      </c>
      <c r="L41" s="174">
        <f>SUM('R&amp;D budget'!I39:I42,'R&amp;D budget'!I6,'R&amp;D budget'!I7)</f>
        <v>7980</v>
      </c>
      <c r="M41" s="174">
        <f>SUM('R&amp;D budget'!J39:J42,'R&amp;D budget'!J6,'R&amp;D budget'!J7)</f>
        <v>7980</v>
      </c>
      <c r="N41" s="174">
        <f>SUM('R&amp;D budget'!K39:K42,'R&amp;D budget'!K6,'R&amp;D budget'!K7)</f>
        <v>10894</v>
      </c>
      <c r="O41" s="174">
        <f>SUM('R&amp;D budget'!L39:L42,'R&amp;D budget'!L6,'R&amp;D budget'!L7)</f>
        <v>10894</v>
      </c>
      <c r="P41" s="174">
        <f>SUM('R&amp;D budget'!M39:M42,'R&amp;D budget'!M6,'R&amp;D budget'!M7)</f>
        <v>10894</v>
      </c>
      <c r="Q41" s="174">
        <f>SUM('R&amp;D budget'!N39:N42,'R&amp;D budget'!N6,'R&amp;D budget'!N7)</f>
        <v>10894</v>
      </c>
      <c r="R41" s="139">
        <f>SUM(S41:AD41)</f>
        <v>290176</v>
      </c>
      <c r="S41" s="174">
        <f>SUM('R&amp;D budget'!O39:O42,'R&amp;D budget'!O6,'R&amp;D budget'!O7)</f>
        <v>21394</v>
      </c>
      <c r="T41" s="174">
        <f>SUM('R&amp;D budget'!P39:P42,'R&amp;D budget'!P6,'R&amp;D budget'!P7)</f>
        <v>21394</v>
      </c>
      <c r="U41" s="174">
        <f>SUM('R&amp;D budget'!Q39:Q42,'R&amp;D budget'!Q6,'R&amp;D budget'!Q7)</f>
        <v>21394</v>
      </c>
      <c r="V41" s="174">
        <f>SUM('R&amp;D budget'!R39:R42,'R&amp;D budget'!R6,'R&amp;D budget'!R7)</f>
        <v>21394</v>
      </c>
      <c r="W41" s="174">
        <f>SUM('R&amp;D budget'!S39:S42,'R&amp;D budget'!S6,'R&amp;D budget'!S7)</f>
        <v>21394</v>
      </c>
      <c r="X41" s="174">
        <f>SUM('R&amp;D budget'!T39:T42,'R&amp;D budget'!T6,'R&amp;D budget'!T7)</f>
        <v>28670</v>
      </c>
      <c r="Y41" s="174">
        <f>SUM('R&amp;D budget'!U39:U42,'R&amp;D budget'!U6,'R&amp;D budget'!U7)</f>
        <v>25756</v>
      </c>
      <c r="Z41" s="174">
        <f>SUM('R&amp;D budget'!V39:V42,'R&amp;D budget'!V6,'R&amp;D budget'!V7)</f>
        <v>25756</v>
      </c>
      <c r="AA41" s="174">
        <f>SUM('R&amp;D budget'!W39:W42,'R&amp;D budget'!W6,'R&amp;D budget'!W7)</f>
        <v>25756</v>
      </c>
      <c r="AB41" s="174">
        <f>SUM('R&amp;D budget'!X39:X42,'R&amp;D budget'!X6,'R&amp;D budget'!X7)</f>
        <v>25756</v>
      </c>
      <c r="AC41" s="174">
        <f>SUM('R&amp;D budget'!Y39:Y42,'R&amp;D budget'!Y6,'R&amp;D budget'!Y7)</f>
        <v>25756</v>
      </c>
      <c r="AD41" s="174">
        <f>SUM('R&amp;D budget'!Z39:Z42,'R&amp;D budget'!Z6,'R&amp;D budget'!Z7)</f>
        <v>25756</v>
      </c>
      <c r="AE41" s="139">
        <f>SUM(AF41:AQ41)</f>
        <v>352728</v>
      </c>
      <c r="AF41" s="188">
        <f>SUM('R&amp;D budget'!AA39:AA42,'R&amp;D budget'!AA6,'R&amp;D budget'!AA7)</f>
        <v>25756</v>
      </c>
      <c r="AG41" s="174">
        <f>SUM('R&amp;D budget'!AB39:AB42,'R&amp;D budget'!AB6,'R&amp;D budget'!AB7)</f>
        <v>25756</v>
      </c>
      <c r="AH41" s="174">
        <f>SUM('R&amp;D budget'!AC39:AC42,'R&amp;D budget'!AC6,'R&amp;D budget'!AC7)</f>
        <v>25756</v>
      </c>
      <c r="AI41" s="174">
        <f>SUM('R&amp;D budget'!AD39:AD42,'R&amp;D budget'!AD6,'R&amp;D budget'!AD7)</f>
        <v>25756</v>
      </c>
      <c r="AJ41" s="174">
        <f>SUM('R&amp;D budget'!AE39:AE42,'R&amp;D budget'!AE6,'R&amp;D budget'!AE7)</f>
        <v>25756</v>
      </c>
      <c r="AK41" s="174">
        <f>SUM('R&amp;D budget'!AF39:AF42,'R&amp;D budget'!AF6,'R&amp;D budget'!AF7)</f>
        <v>25756</v>
      </c>
      <c r="AL41" s="174">
        <f>SUM('R&amp;D budget'!AG39:AG42,'R&amp;D budget'!AG6,'R&amp;D budget'!AG7)</f>
        <v>33032</v>
      </c>
      <c r="AM41" s="174">
        <f>SUM('R&amp;D budget'!AH39:AH42,'R&amp;D budget'!AH6,'R&amp;D budget'!AH7)</f>
        <v>33032</v>
      </c>
      <c r="AN41" s="174">
        <f>SUM('R&amp;D budget'!AI39:AI42,'R&amp;D budget'!AI6,'R&amp;D budget'!AI7)</f>
        <v>33032</v>
      </c>
      <c r="AO41" s="174">
        <f>SUM('R&amp;D budget'!AJ39:AJ42,'R&amp;D budget'!AJ6,'R&amp;D budget'!AJ7)</f>
        <v>33032</v>
      </c>
      <c r="AP41" s="174">
        <f>SUM('R&amp;D budget'!AK39:AK42,'R&amp;D budget'!AK6,'R&amp;D budget'!AK7)</f>
        <v>33032</v>
      </c>
      <c r="AQ41" s="174">
        <f>SUM('R&amp;D budget'!AL39:AL42,'R&amp;D budget'!AL6,'R&amp;D budget'!AL7)</f>
        <v>33032</v>
      </c>
      <c r="AR41" s="15">
        <f>AS41+AT41</f>
        <v>578500</v>
      </c>
      <c r="AS41" s="174">
        <f>89000*AS15*0.5</f>
        <v>267000</v>
      </c>
      <c r="AT41" s="174">
        <f>89000*AT15*0.5</f>
        <v>311500</v>
      </c>
      <c r="AU41" s="14">
        <f>AV41+AW41</f>
        <v>823250</v>
      </c>
      <c r="AV41" s="174">
        <f>89000*AV15*0.5</f>
        <v>356000</v>
      </c>
      <c r="AW41" s="174">
        <f>89000*AW15*0.5*1.05</f>
        <v>467250</v>
      </c>
      <c r="AX41" s="15">
        <f>AY41+AZ41</f>
        <v>1296618.75</v>
      </c>
      <c r="AY41" s="174">
        <f>AW41/AW15*AY15</f>
        <v>560700</v>
      </c>
      <c r="AZ41" s="174">
        <f>(AY41/AY15)*AZ15*1.05</f>
        <v>735918.75</v>
      </c>
      <c r="BA41" s="14">
        <f>BB41+BC41</f>
        <v>1812813.1875</v>
      </c>
      <c r="BB41" s="174">
        <f>AZ41/AZ15*BB15</f>
        <v>834041.25</v>
      </c>
      <c r="BC41" s="174">
        <f>(BB41/BB15)*BC15*1.05</f>
        <v>978771.9375</v>
      </c>
      <c r="BD41" s="15">
        <f>90000*BD15</f>
        <v>2109375</v>
      </c>
      <c r="BE41" s="14">
        <f>90000*BE15</f>
        <v>2636718.75</v>
      </c>
      <c r="BF41" s="14">
        <f>90000*BF15</f>
        <v>3295898.4375</v>
      </c>
      <c r="BG41" s="14">
        <f>90000*BG15</f>
        <v>4119873.046875</v>
      </c>
      <c r="BH41" t="s">
        <v>187</v>
      </c>
      <c r="BQ41" s="202"/>
    </row>
    <row r="42" spans="2:69" x14ac:dyDescent="0.25">
      <c r="B42" t="s">
        <v>241</v>
      </c>
      <c r="C42" t="s">
        <v>243</v>
      </c>
      <c r="D42" s="30" t="s">
        <v>190</v>
      </c>
      <c r="E42" s="138">
        <f>SUM(F42:Q42)</f>
        <v>51650</v>
      </c>
      <c r="F42" s="174">
        <f>'R&amp;D budget'!C56+'R&amp;D budget'!C51+'R&amp;D budget'!C50</f>
        <v>0</v>
      </c>
      <c r="G42" s="174">
        <f>'R&amp;D budget'!D56+'R&amp;D budget'!D51+'R&amp;D budget'!D50</f>
        <v>0</v>
      </c>
      <c r="H42" s="174">
        <f>'R&amp;D budget'!E56+'R&amp;D budget'!E51+'R&amp;D budget'!E50</f>
        <v>1800</v>
      </c>
      <c r="I42" s="174">
        <f>'R&amp;D budget'!F56+'R&amp;D budget'!F51+'R&amp;D budget'!F50</f>
        <v>1800</v>
      </c>
      <c r="J42" s="174">
        <f>'R&amp;D budget'!G56+'R&amp;D budget'!G51+'R&amp;D budget'!G50</f>
        <v>1800</v>
      </c>
      <c r="K42" s="174">
        <f>'R&amp;D budget'!H56+'R&amp;D budget'!H51+'R&amp;D budget'!H50</f>
        <v>2050</v>
      </c>
      <c r="L42" s="174">
        <f>'R&amp;D budget'!I56+'R&amp;D budget'!I51+'R&amp;D budget'!I50</f>
        <v>19450</v>
      </c>
      <c r="M42" s="174">
        <f>'R&amp;D budget'!J56+'R&amp;D budget'!J51+'R&amp;D budget'!J50</f>
        <v>4950</v>
      </c>
      <c r="N42" s="174">
        <f>'R&amp;D budget'!K56+'R&amp;D budget'!K51+'R&amp;D budget'!K50</f>
        <v>4950</v>
      </c>
      <c r="O42" s="174">
        <f>'R&amp;D budget'!L56+'R&amp;D budget'!L51+'R&amp;D budget'!L50</f>
        <v>10750</v>
      </c>
      <c r="P42" s="174">
        <f>'R&amp;D budget'!M56+'R&amp;D budget'!M51+'R&amp;D budget'!M50</f>
        <v>2050</v>
      </c>
      <c r="Q42" s="174">
        <f>'R&amp;D budget'!N56+'R&amp;D budget'!N51+'R&amp;D budget'!N50</f>
        <v>2050</v>
      </c>
      <c r="R42" s="139">
        <f t="shared" ref="R42:R48" si="134">SUM(S42:AD42)</f>
        <v>52650</v>
      </c>
      <c r="S42" s="174">
        <f>'R&amp;D budget'!O56+'R&amp;D budget'!O51+'R&amp;D budget'!O50</f>
        <v>7900</v>
      </c>
      <c r="T42" s="174">
        <f>'R&amp;D budget'!P56+'R&amp;D budget'!P51+'R&amp;D budget'!P50</f>
        <v>2100</v>
      </c>
      <c r="U42" s="174">
        <f>'R&amp;D budget'!Q56+'R&amp;D budget'!Q51+'R&amp;D budget'!Q50</f>
        <v>2100</v>
      </c>
      <c r="V42" s="174">
        <f>'R&amp;D budget'!R56+'R&amp;D budget'!R51+'R&amp;D budget'!R50</f>
        <v>2100</v>
      </c>
      <c r="W42" s="174">
        <f>'R&amp;D budget'!S56+'R&amp;D budget'!S51+'R&amp;D budget'!S50</f>
        <v>2100</v>
      </c>
      <c r="X42" s="174">
        <f>'R&amp;D budget'!T56+'R&amp;D budget'!T51+'R&amp;D budget'!T50</f>
        <v>6850</v>
      </c>
      <c r="Y42" s="174">
        <f>'R&amp;D budget'!U56+'R&amp;D budget'!U51+'R&amp;D budget'!U50</f>
        <v>3950</v>
      </c>
      <c r="Z42" s="174">
        <f>'R&amp;D budget'!V56+'R&amp;D budget'!V51+'R&amp;D budget'!V50</f>
        <v>3950</v>
      </c>
      <c r="AA42" s="174">
        <f>'R&amp;D budget'!W56+'R&amp;D budget'!W51+'R&amp;D budget'!W50</f>
        <v>3950</v>
      </c>
      <c r="AB42" s="174">
        <f>'R&amp;D budget'!X56+'R&amp;D budget'!X51+'R&amp;D budget'!X50</f>
        <v>9750</v>
      </c>
      <c r="AC42" s="174">
        <f>'R&amp;D budget'!Y56+'R&amp;D budget'!Y51+'R&amp;D budget'!Y50</f>
        <v>3950</v>
      </c>
      <c r="AD42" s="174">
        <f>'R&amp;D budget'!Z56+'R&amp;D budget'!Z51+'R&amp;D budget'!Z50</f>
        <v>3950</v>
      </c>
      <c r="AE42" s="139">
        <f>SUM(AF42:AQ42)</f>
        <v>57300</v>
      </c>
      <c r="AF42" s="188">
        <f>'R&amp;D budget'!AA56+'R&amp;D budget'!AA51+'R&amp;D budget'!AA50</f>
        <v>6900</v>
      </c>
      <c r="AG42" s="174">
        <f>'R&amp;D budget'!AB56+'R&amp;D budget'!AB51+'R&amp;D budget'!AB50</f>
        <v>4000</v>
      </c>
      <c r="AH42" s="174">
        <f>'R&amp;D budget'!AC56+'R&amp;D budget'!AC51+'R&amp;D budget'!AC50</f>
        <v>4000</v>
      </c>
      <c r="AI42" s="174">
        <f>'R&amp;D budget'!AD56+'R&amp;D budget'!AD51+'R&amp;D budget'!AD50</f>
        <v>4000</v>
      </c>
      <c r="AJ42" s="174">
        <f>'R&amp;D budget'!AE56+'R&amp;D budget'!AE51+'R&amp;D budget'!AE50</f>
        <v>4000</v>
      </c>
      <c r="AK42" s="174">
        <f>'R&amp;D budget'!AF56+'R&amp;D budget'!AF51+'R&amp;D budget'!AF50</f>
        <v>4000</v>
      </c>
      <c r="AL42" s="174">
        <f>'R&amp;D budget'!AG56+'R&amp;D budget'!AG51+'R&amp;D budget'!AG50</f>
        <v>9900</v>
      </c>
      <c r="AM42" s="174">
        <f>'R&amp;D budget'!AH56+'R&amp;D budget'!AH51+'R&amp;D budget'!AH50</f>
        <v>4100</v>
      </c>
      <c r="AN42" s="174">
        <f>'R&amp;D budget'!AI56+'R&amp;D budget'!AI51+'R&amp;D budget'!AI50</f>
        <v>4100</v>
      </c>
      <c r="AO42" s="174">
        <f>'R&amp;D budget'!AJ56+'R&amp;D budget'!AJ51+'R&amp;D budget'!AJ50</f>
        <v>4100</v>
      </c>
      <c r="AP42" s="174">
        <f>'R&amp;D budget'!AK56+'R&amp;D budget'!AK51+'R&amp;D budget'!AK50</f>
        <v>4100</v>
      </c>
      <c r="AQ42" s="174">
        <f>'R&amp;D budget'!AL56+'R&amp;D budget'!AL51+'R&amp;D budget'!AL50</f>
        <v>4100</v>
      </c>
      <c r="AR42" s="15">
        <f t="shared" ref="AR42:AR48" si="135">AS42+AT42</f>
        <v>66181.500000000015</v>
      </c>
      <c r="AS42" s="174">
        <f>AE42*1.1*0.5</f>
        <v>31515.000000000004</v>
      </c>
      <c r="AT42" s="174">
        <f>AS42*1.1</f>
        <v>34666.500000000007</v>
      </c>
      <c r="AU42" s="14">
        <f t="shared" ref="AU42:AU48" si="136">AV42+AW42</f>
        <v>22981.500000000011</v>
      </c>
      <c r="AV42" s="174">
        <f>AS42-(3600*6)</f>
        <v>9915.0000000000036</v>
      </c>
      <c r="AW42" s="174">
        <f>AT42-(3600*6)</f>
        <v>13066.500000000007</v>
      </c>
      <c r="AX42" s="15">
        <f>AY42+AZ42</f>
        <v>27439.650000000016</v>
      </c>
      <c r="AY42" s="174">
        <f>AW42</f>
        <v>13066.500000000007</v>
      </c>
      <c r="AZ42" s="174">
        <f>AY42*1.1</f>
        <v>14373.150000000009</v>
      </c>
      <c r="BA42" s="14">
        <f t="shared" ref="BA42:BA48" si="137">BB42+BC42</f>
        <v>30183.61500000002</v>
      </c>
      <c r="BB42" s="174">
        <f>AZ42</f>
        <v>14373.150000000009</v>
      </c>
      <c r="BC42" s="174">
        <f>BB42*1.1</f>
        <v>15810.465000000011</v>
      </c>
      <c r="BD42" s="15">
        <f>BA42*1.1</f>
        <v>33201.976500000026</v>
      </c>
      <c r="BE42" s="14">
        <f t="shared" ref="BE42:BG42" si="138">BD42*1.1</f>
        <v>36522.174150000035</v>
      </c>
      <c r="BF42" s="14">
        <f t="shared" si="138"/>
        <v>40174.391565000042</v>
      </c>
      <c r="BG42" s="14">
        <f t="shared" si="138"/>
        <v>44191.830721500046</v>
      </c>
      <c r="BH42" t="s">
        <v>191</v>
      </c>
    </row>
    <row r="43" spans="2:69" x14ac:dyDescent="0.25">
      <c r="B43" t="s">
        <v>241</v>
      </c>
      <c r="C43" t="s">
        <v>243</v>
      </c>
      <c r="D43" s="30" t="s">
        <v>131</v>
      </c>
      <c r="E43" s="138">
        <f>SUM(F43:Q43)</f>
        <v>66078.57142857142</v>
      </c>
      <c r="F43" s="174">
        <f>'R&amp;D budget'!C44</f>
        <v>0</v>
      </c>
      <c r="G43" s="174">
        <f>'R&amp;D budget'!D44</f>
        <v>0</v>
      </c>
      <c r="H43" s="174">
        <f>'R&amp;D budget'!E44</f>
        <v>0</v>
      </c>
      <c r="I43" s="174">
        <f>'R&amp;D budget'!F44</f>
        <v>0</v>
      </c>
      <c r="J43" s="174">
        <f>'R&amp;D budget'!G44</f>
        <v>0</v>
      </c>
      <c r="K43" s="174">
        <f>'R&amp;D budget'!H44</f>
        <v>0</v>
      </c>
      <c r="L43" s="174">
        <f>'R&amp;D budget'!I44</f>
        <v>0</v>
      </c>
      <c r="M43" s="174">
        <f>'R&amp;D budget'!J44</f>
        <v>14650</v>
      </c>
      <c r="N43" s="174">
        <f>'R&amp;D budget'!K44</f>
        <v>0</v>
      </c>
      <c r="O43" s="174">
        <f>'R&amp;D budget'!L44</f>
        <v>0</v>
      </c>
      <c r="P43" s="174">
        <f>'R&amp;D budget'!M44</f>
        <v>0</v>
      </c>
      <c r="Q43" s="174">
        <f>'R&amp;D budget'!N44</f>
        <v>51428.571428571428</v>
      </c>
      <c r="R43" s="139">
        <f t="shared" si="134"/>
        <v>105000</v>
      </c>
      <c r="S43" s="174">
        <f>'R&amp;D budget'!O44</f>
        <v>0</v>
      </c>
      <c r="T43" s="174">
        <f>'R&amp;D budget'!P44</f>
        <v>0</v>
      </c>
      <c r="U43" s="174">
        <f>'R&amp;D budget'!Q44</f>
        <v>0</v>
      </c>
      <c r="V43" s="174">
        <f>'R&amp;D budget'!R44</f>
        <v>0</v>
      </c>
      <c r="W43" s="174">
        <f>'R&amp;D budget'!S44</f>
        <v>0</v>
      </c>
      <c r="X43" s="174">
        <f>'R&amp;D budget'!T44</f>
        <v>51428.571428571428</v>
      </c>
      <c r="Y43" s="174">
        <f>'R&amp;D budget'!U44</f>
        <v>0</v>
      </c>
      <c r="Z43" s="174">
        <f>'R&amp;D budget'!V44</f>
        <v>0</v>
      </c>
      <c r="AA43" s="174">
        <f>'R&amp;D budget'!W44</f>
        <v>0</v>
      </c>
      <c r="AB43" s="174">
        <f>'R&amp;D budget'!X44</f>
        <v>0</v>
      </c>
      <c r="AC43" s="174">
        <f>'R&amp;D budget'!Y44</f>
        <v>0</v>
      </c>
      <c r="AD43" s="174">
        <f>'R&amp;D budget'!Z44</f>
        <v>53571.428571428572</v>
      </c>
      <c r="AE43" s="230">
        <f t="shared" ref="AE43:AE48" si="139">SUM(AF43:AQ43)</f>
        <v>158571.42857142858</v>
      </c>
      <c r="AF43" s="174">
        <f>'R&amp;D budget'!AA44</f>
        <v>0</v>
      </c>
      <c r="AG43" s="174">
        <f>'R&amp;D budget'!AB44</f>
        <v>0</v>
      </c>
      <c r="AH43" s="174">
        <f>'R&amp;D budget'!AC44</f>
        <v>0</v>
      </c>
      <c r="AI43" s="174">
        <f>'R&amp;D budget'!AD44</f>
        <v>0</v>
      </c>
      <c r="AJ43" s="174">
        <f>'R&amp;D budget'!AE44</f>
        <v>0</v>
      </c>
      <c r="AK43" s="174">
        <f>'R&amp;D budget'!AF44</f>
        <v>51428.571428571428</v>
      </c>
      <c r="AL43" s="174">
        <f>'R&amp;D budget'!AG44</f>
        <v>0</v>
      </c>
      <c r="AM43" s="174">
        <f>'R&amp;D budget'!AH44</f>
        <v>0</v>
      </c>
      <c r="AN43" s="174">
        <f>'R&amp;D budget'!AI44</f>
        <v>0</v>
      </c>
      <c r="AO43" s="174">
        <f>'R&amp;D budget'!AJ44</f>
        <v>0</v>
      </c>
      <c r="AP43" s="174">
        <f>'R&amp;D budget'!AK44</f>
        <v>0</v>
      </c>
      <c r="AQ43" s="174">
        <f>'R&amp;D budget'!AL44</f>
        <v>107142.85714285714</v>
      </c>
      <c r="AR43" s="15">
        <f t="shared" si="135"/>
        <v>170662.50000000003</v>
      </c>
      <c r="AS43" s="174">
        <f>AE43*1.05*0.5</f>
        <v>83250.000000000015</v>
      </c>
      <c r="AT43" s="174">
        <f>AS43*1.05</f>
        <v>87412.500000000015</v>
      </c>
      <c r="AU43" s="14">
        <f>AV43+AW43</f>
        <v>183566.25000000006</v>
      </c>
      <c r="AV43" s="174">
        <f>AT43</f>
        <v>87412.500000000015</v>
      </c>
      <c r="AW43" s="174">
        <f>AV43*1.1</f>
        <v>96153.750000000029</v>
      </c>
      <c r="AX43" s="15">
        <f>AY43+AZ43</f>
        <v>201922.87500000006</v>
      </c>
      <c r="AY43" s="174">
        <f>AW43</f>
        <v>96153.750000000029</v>
      </c>
      <c r="AZ43" s="174">
        <f>AY43*1.1</f>
        <v>105769.12500000004</v>
      </c>
      <c r="BA43" s="14">
        <f t="shared" si="137"/>
        <v>222115.16250000009</v>
      </c>
      <c r="BB43" s="174">
        <f>AZ43</f>
        <v>105769.12500000004</v>
      </c>
      <c r="BC43" s="174">
        <f>BB43*1.1</f>
        <v>116346.03750000006</v>
      </c>
      <c r="BD43" s="15">
        <f>BA43*1.1</f>
        <v>244326.67875000011</v>
      </c>
      <c r="BE43" s="14">
        <f>BD43*1.1</f>
        <v>268759.34662500012</v>
      </c>
      <c r="BF43" s="14">
        <f t="shared" ref="BF43:BG47" si="140">BE43*1.1</f>
        <v>295635.28128750017</v>
      </c>
      <c r="BG43" s="14">
        <f t="shared" si="140"/>
        <v>325198.80941625021</v>
      </c>
      <c r="BH43" t="s">
        <v>192</v>
      </c>
    </row>
    <row r="44" spans="2:69" x14ac:dyDescent="0.25">
      <c r="B44" t="s">
        <v>241</v>
      </c>
      <c r="C44" t="s">
        <v>243</v>
      </c>
      <c r="D44" s="30" t="s">
        <v>193</v>
      </c>
      <c r="E44" s="138">
        <f t="shared" ref="E44:E48" si="141">SUM(F44:Q44)</f>
        <v>18000</v>
      </c>
      <c r="F44" s="174">
        <f>SUM('R&amp;D budget'!C45:C46)</f>
        <v>0</v>
      </c>
      <c r="G44" s="174">
        <f>SUM('R&amp;D budget'!D45:D46)</f>
        <v>0</v>
      </c>
      <c r="H44" s="174">
        <f>SUM('R&amp;D budget'!E45:E46)</f>
        <v>0</v>
      </c>
      <c r="I44" s="174">
        <f>SUM('R&amp;D budget'!F45:F46)</f>
        <v>0</v>
      </c>
      <c r="J44" s="174">
        <f>SUM('R&amp;D budget'!G45:G46)</f>
        <v>0</v>
      </c>
      <c r="K44" s="174">
        <f>SUM('R&amp;D budget'!H45:H46)</f>
        <v>8000</v>
      </c>
      <c r="L44" s="174">
        <f>SUM('R&amp;D budget'!I45:I46)</f>
        <v>0</v>
      </c>
      <c r="M44" s="174">
        <f>SUM('R&amp;D budget'!J45:J46)</f>
        <v>0</v>
      </c>
      <c r="N44" s="174">
        <f>SUM('R&amp;D budget'!K45:K46)</f>
        <v>0</v>
      </c>
      <c r="O44" s="174">
        <f>SUM('R&amp;D budget'!L45:L46)</f>
        <v>10000</v>
      </c>
      <c r="P44" s="174">
        <f>SUM('R&amp;D budget'!M45:M46)</f>
        <v>0</v>
      </c>
      <c r="Q44" s="174">
        <f>SUM('R&amp;D budget'!N45:N46)</f>
        <v>0</v>
      </c>
      <c r="R44" s="139">
        <f t="shared" si="134"/>
        <v>35000</v>
      </c>
      <c r="S44" s="174">
        <f>SUM('R&amp;D budget'!O45:O46)</f>
        <v>10000</v>
      </c>
      <c r="T44" s="174">
        <f>SUM('R&amp;D budget'!P45:P46)</f>
        <v>0</v>
      </c>
      <c r="U44" s="174">
        <f>SUM('R&amp;D budget'!Q45:Q46)</f>
        <v>5000</v>
      </c>
      <c r="V44" s="174">
        <f>SUM('R&amp;D budget'!R45:R46)</f>
        <v>0</v>
      </c>
      <c r="W44" s="174">
        <f>SUM('R&amp;D budget'!S45:S46)</f>
        <v>0</v>
      </c>
      <c r="X44" s="174">
        <f>SUM('R&amp;D budget'!T45:T46)</f>
        <v>0</v>
      </c>
      <c r="Y44" s="174">
        <f>SUM('R&amp;D budget'!U45:U46)</f>
        <v>10000</v>
      </c>
      <c r="Z44" s="174">
        <f>SUM('R&amp;D budget'!V45:V46)</f>
        <v>0</v>
      </c>
      <c r="AA44" s="174">
        <f>SUM('R&amp;D budget'!W45:W46)</f>
        <v>0</v>
      </c>
      <c r="AB44" s="174">
        <f>SUM('R&amp;D budget'!X45:X46)</f>
        <v>0</v>
      </c>
      <c r="AC44" s="174">
        <f>SUM('R&amp;D budget'!Y45:Y46)</f>
        <v>0</v>
      </c>
      <c r="AD44" s="174">
        <f>SUM('R&amp;D budget'!Z45:Z46)</f>
        <v>10000</v>
      </c>
      <c r="AE44" s="230">
        <f t="shared" si="139"/>
        <v>50000</v>
      </c>
      <c r="AF44" s="174">
        <f>SUM('R&amp;D budget'!AA45:AA46)</f>
        <v>10000</v>
      </c>
      <c r="AG44" s="174">
        <f>SUM('R&amp;D budget'!AB45:AB46)</f>
        <v>0</v>
      </c>
      <c r="AH44" s="174">
        <f>SUM('R&amp;D budget'!AC45:AC46)</f>
        <v>0</v>
      </c>
      <c r="AI44" s="174">
        <f>SUM('R&amp;D budget'!AD45:AD46)</f>
        <v>0</v>
      </c>
      <c r="AJ44" s="174">
        <f>SUM('R&amp;D budget'!AE45:AE46)</f>
        <v>0</v>
      </c>
      <c r="AK44" s="174">
        <f>SUM('R&amp;D budget'!AF45:AF46)</f>
        <v>5000</v>
      </c>
      <c r="AL44" s="174">
        <f>SUM('R&amp;D budget'!AG45:AG46)</f>
        <v>10000</v>
      </c>
      <c r="AM44" s="174">
        <f>SUM('R&amp;D budget'!AH45:AH46)</f>
        <v>0</v>
      </c>
      <c r="AN44" s="174">
        <f>SUM('R&amp;D budget'!AI45:AI46)</f>
        <v>0</v>
      </c>
      <c r="AO44" s="174">
        <f>SUM('R&amp;D budget'!AJ45:AJ46)</f>
        <v>5000</v>
      </c>
      <c r="AP44" s="174">
        <f>SUM('R&amp;D budget'!AK45:AK46)</f>
        <v>0</v>
      </c>
      <c r="AQ44" s="174">
        <f>SUM('R&amp;D budget'!AL45:AL46)</f>
        <v>20000</v>
      </c>
      <c r="AR44" s="15">
        <f t="shared" si="135"/>
        <v>60000</v>
      </c>
      <c r="AS44" s="174">
        <v>30000</v>
      </c>
      <c r="AT44" s="174">
        <v>30000</v>
      </c>
      <c r="AU44" s="14">
        <f t="shared" si="136"/>
        <v>73500</v>
      </c>
      <c r="AV44" s="174">
        <v>35000</v>
      </c>
      <c r="AW44" s="174">
        <f>AV44*1.1</f>
        <v>38500</v>
      </c>
      <c r="AX44" s="15">
        <f>AY44+AZ44</f>
        <v>88935</v>
      </c>
      <c r="AY44" s="174">
        <f>AW44*1.1</f>
        <v>42350</v>
      </c>
      <c r="AZ44" s="174">
        <f>AY44*1.1</f>
        <v>46585.000000000007</v>
      </c>
      <c r="BA44" s="14">
        <f t="shared" si="137"/>
        <v>107611.35000000003</v>
      </c>
      <c r="BB44" s="174">
        <f>AZ44*1.1</f>
        <v>51243.500000000015</v>
      </c>
      <c r="BC44" s="174">
        <f>BB44*1.1</f>
        <v>56367.85000000002</v>
      </c>
      <c r="BD44" s="15">
        <f t="shared" ref="BD44:BD45" si="142">BA44*1.1</f>
        <v>118372.48500000004</v>
      </c>
      <c r="BE44" s="14">
        <f t="shared" ref="BE44:BE47" si="143">BD44*1.1</f>
        <v>130209.73350000006</v>
      </c>
      <c r="BF44" s="14">
        <f t="shared" si="140"/>
        <v>143230.70685000008</v>
      </c>
      <c r="BG44" s="14">
        <f t="shared" si="140"/>
        <v>157553.77753500009</v>
      </c>
    </row>
    <row r="45" spans="2:69" x14ac:dyDescent="0.25">
      <c r="B45" t="s">
        <v>241</v>
      </c>
      <c r="C45" t="s">
        <v>243</v>
      </c>
      <c r="D45" s="30" t="s">
        <v>194</v>
      </c>
      <c r="E45" s="138">
        <f t="shared" si="141"/>
        <v>23433.096525096527</v>
      </c>
      <c r="F45" s="174">
        <f>SUM('R&amp;D budget'!C47:C49)</f>
        <v>2172.2857142857142</v>
      </c>
      <c r="G45" s="174">
        <f>SUM('R&amp;D budget'!D47:D49)</f>
        <v>200</v>
      </c>
      <c r="H45" s="174">
        <f>SUM('R&amp;D budget'!E47:E49)</f>
        <v>10200</v>
      </c>
      <c r="I45" s="174">
        <f>SUM('R&amp;D budget'!F47:F49)</f>
        <v>200</v>
      </c>
      <c r="J45" s="174">
        <f>SUM('R&amp;D budget'!G47:G49)</f>
        <v>200</v>
      </c>
      <c r="K45" s="174">
        <f>SUM('R&amp;D budget'!H47:H49)</f>
        <v>200</v>
      </c>
      <c r="L45" s="174">
        <f>SUM('R&amp;D budget'!I47:I49)</f>
        <v>4236.9369369369369</v>
      </c>
      <c r="M45" s="174">
        <f>SUM('R&amp;D budget'!J47:J49)</f>
        <v>300</v>
      </c>
      <c r="N45" s="174">
        <f>SUM('R&amp;D budget'!K47:K49)</f>
        <v>2236.9369369369369</v>
      </c>
      <c r="O45" s="174">
        <f>SUM('R&amp;D budget'!L47:L49)</f>
        <v>850</v>
      </c>
      <c r="P45" s="174">
        <f>SUM('R&amp;D budget'!M47:M49)</f>
        <v>2286.9369369369369</v>
      </c>
      <c r="Q45" s="174">
        <f>SUM('R&amp;D budget'!N47:N49)</f>
        <v>350</v>
      </c>
      <c r="R45" s="139">
        <f t="shared" si="134"/>
        <v>19421.621621621623</v>
      </c>
      <c r="S45" s="174">
        <f>SUM('R&amp;D budget'!O47:O49)</f>
        <v>2786.9369369369369</v>
      </c>
      <c r="T45" s="174">
        <f>SUM('R&amp;D budget'!P47:P49)</f>
        <v>350</v>
      </c>
      <c r="U45" s="174">
        <f>SUM('R&amp;D budget'!Q47:Q49)</f>
        <v>2286.9369369369369</v>
      </c>
      <c r="V45" s="174">
        <f>SUM('R&amp;D budget'!R47:R49)</f>
        <v>900</v>
      </c>
      <c r="W45" s="174">
        <f>SUM('R&amp;D budget'!S47:S49)</f>
        <v>2336.9369369369369</v>
      </c>
      <c r="X45" s="174">
        <f>SUM('R&amp;D budget'!T47:T49)</f>
        <v>400</v>
      </c>
      <c r="Y45" s="174">
        <f>SUM('R&amp;D budget'!U47:U49)</f>
        <v>3836.9369369369369</v>
      </c>
      <c r="Z45" s="174">
        <f>SUM('R&amp;D budget'!V47:V49)</f>
        <v>400</v>
      </c>
      <c r="AA45" s="174">
        <f>SUM('R&amp;D budget'!W47:W49)</f>
        <v>2336.9369369369369</v>
      </c>
      <c r="AB45" s="174">
        <f>SUM('R&amp;D budget'!X47:X49)</f>
        <v>950</v>
      </c>
      <c r="AC45" s="174">
        <f>SUM('R&amp;D budget'!Y47:Y49)</f>
        <v>2386.9369369369369</v>
      </c>
      <c r="AD45" s="174">
        <f>SUM('R&amp;D budget'!Z47:Z49)</f>
        <v>450</v>
      </c>
      <c r="AE45" s="230">
        <f t="shared" si="139"/>
        <v>22621.621621621623</v>
      </c>
      <c r="AF45" s="174">
        <f>SUM('R&amp;D budget'!AA47:AA49)</f>
        <v>2886.9369369369369</v>
      </c>
      <c r="AG45" s="174">
        <f>SUM('R&amp;D budget'!AB47:AB49)</f>
        <v>450</v>
      </c>
      <c r="AH45" s="174">
        <f>SUM('R&amp;D budget'!AC47:AC49)</f>
        <v>2386.9369369369369</v>
      </c>
      <c r="AI45" s="174">
        <f>SUM('R&amp;D budget'!AD47:AD49)</f>
        <v>1000</v>
      </c>
      <c r="AJ45" s="174">
        <f>SUM('R&amp;D budget'!AE47:AE49)</f>
        <v>2436.9369369369369</v>
      </c>
      <c r="AK45" s="174">
        <f>SUM('R&amp;D budget'!AF47:AF49)</f>
        <v>500</v>
      </c>
      <c r="AL45" s="174">
        <f>SUM('R&amp;D budget'!AG47:AG49)</f>
        <v>5936.9369369369369</v>
      </c>
      <c r="AM45" s="174">
        <f>SUM('R&amp;D budget'!AH47:AH49)</f>
        <v>500</v>
      </c>
      <c r="AN45" s="174">
        <f>SUM('R&amp;D budget'!AI47:AI49)</f>
        <v>2436.9369369369369</v>
      </c>
      <c r="AO45" s="174">
        <f>SUM('R&amp;D budget'!AJ47:AJ49)</f>
        <v>1050</v>
      </c>
      <c r="AP45" s="174">
        <f>SUM('R&amp;D budget'!AK47:AK49)</f>
        <v>2486.9369369369369</v>
      </c>
      <c r="AQ45" s="222">
        <f>SUM('R&amp;D budget'!AL47:AL49)</f>
        <v>550</v>
      </c>
      <c r="AR45" s="14">
        <f t="shared" si="135"/>
        <v>24883.783783783783</v>
      </c>
      <c r="AS45" s="174">
        <f>SUM(AF45:AK45)*1.1</f>
        <v>10626.891891891892</v>
      </c>
      <c r="AT45" s="174">
        <f>SUM(AL45:AQ45)*1.1</f>
        <v>14256.891891891892</v>
      </c>
      <c r="AU45" s="14">
        <f t="shared" si="136"/>
        <v>27372.162162162163</v>
      </c>
      <c r="AV45" s="174">
        <f>AS45*1.1</f>
        <v>11689.581081081082</v>
      </c>
      <c r="AW45" s="174">
        <f>AT45*1.1</f>
        <v>15682.581081081082</v>
      </c>
      <c r="AX45" s="15">
        <f t="shared" ref="AX45" si="144">AY45+AZ45</f>
        <v>30109.37837837838</v>
      </c>
      <c r="AY45" s="174">
        <f>AV45*1.1</f>
        <v>12858.53918918919</v>
      </c>
      <c r="AZ45" s="174">
        <f>AW45*1.1</f>
        <v>17250.839189189192</v>
      </c>
      <c r="BA45" s="14">
        <f t="shared" si="137"/>
        <v>33120.316216216219</v>
      </c>
      <c r="BB45" s="174">
        <f>AY45*1.1</f>
        <v>14144.39310810811</v>
      </c>
      <c r="BC45" s="174">
        <f>AZ45*1.1</f>
        <v>18975.923108108113</v>
      </c>
      <c r="BD45" s="15">
        <f t="shared" si="142"/>
        <v>36432.347837837842</v>
      </c>
      <c r="BE45" s="14">
        <f t="shared" si="143"/>
        <v>40075.58262162163</v>
      </c>
      <c r="BF45" s="14">
        <f t="shared" si="140"/>
        <v>44083.140883783795</v>
      </c>
      <c r="BG45" s="14">
        <f t="shared" si="140"/>
        <v>48491.454972162181</v>
      </c>
      <c r="BI45" s="202"/>
      <c r="BQ45" s="202"/>
    </row>
    <row r="46" spans="2:69" x14ac:dyDescent="0.25">
      <c r="B46" t="s">
        <v>241</v>
      </c>
      <c r="C46" t="s">
        <v>243</v>
      </c>
      <c r="D46" s="30" t="s">
        <v>195</v>
      </c>
      <c r="E46" s="138">
        <f t="shared" si="141"/>
        <v>0</v>
      </c>
      <c r="F46" s="174">
        <f>'R&amp;D budget'!C52</f>
        <v>0</v>
      </c>
      <c r="G46" s="174">
        <f>'R&amp;D budget'!D52</f>
        <v>0</v>
      </c>
      <c r="H46" s="174">
        <f>'R&amp;D budget'!E52</f>
        <v>0</v>
      </c>
      <c r="I46" s="174">
        <f>'R&amp;D budget'!F52</f>
        <v>0</v>
      </c>
      <c r="J46" s="174">
        <f>'R&amp;D budget'!G52</f>
        <v>0</v>
      </c>
      <c r="K46" s="174">
        <f>'R&amp;D budget'!H52</f>
        <v>0</v>
      </c>
      <c r="L46" s="174">
        <f>'R&amp;D budget'!I52</f>
        <v>0</v>
      </c>
      <c r="M46" s="174">
        <f>'R&amp;D budget'!J52</f>
        <v>0</v>
      </c>
      <c r="N46" s="174">
        <f>'R&amp;D budget'!K52</f>
        <v>0</v>
      </c>
      <c r="O46" s="174">
        <f>'R&amp;D budget'!L52</f>
        <v>0</v>
      </c>
      <c r="P46" s="174">
        <f>'R&amp;D budget'!M52</f>
        <v>0</v>
      </c>
      <c r="Q46" s="174">
        <f>'R&amp;D budget'!N52</f>
        <v>0</v>
      </c>
      <c r="R46" s="139">
        <f t="shared" si="134"/>
        <v>50000</v>
      </c>
      <c r="S46" s="174">
        <f>'R&amp;D budget'!O52</f>
        <v>0</v>
      </c>
      <c r="T46" s="174">
        <f>'R&amp;D budget'!P52</f>
        <v>0</v>
      </c>
      <c r="U46" s="174">
        <f>'R&amp;D budget'!Q52</f>
        <v>0</v>
      </c>
      <c r="V46" s="174">
        <f>'R&amp;D budget'!R52</f>
        <v>0</v>
      </c>
      <c r="W46" s="174">
        <f>'R&amp;D budget'!S52</f>
        <v>0</v>
      </c>
      <c r="X46" s="174">
        <f>'R&amp;D budget'!T52</f>
        <v>0</v>
      </c>
      <c r="Y46" s="174">
        <f>'R&amp;D budget'!U52</f>
        <v>0</v>
      </c>
      <c r="Z46" s="174">
        <f>'R&amp;D budget'!V52</f>
        <v>0</v>
      </c>
      <c r="AA46" s="174">
        <f>'R&amp;D budget'!W52</f>
        <v>0</v>
      </c>
      <c r="AB46" s="174">
        <f>'R&amp;D budget'!X52</f>
        <v>0</v>
      </c>
      <c r="AC46" s="174">
        <f>'R&amp;D budget'!Y52</f>
        <v>0</v>
      </c>
      <c r="AD46" s="174">
        <f>'R&amp;D budget'!Z52</f>
        <v>50000</v>
      </c>
      <c r="AE46" s="230">
        <f t="shared" si="139"/>
        <v>50000</v>
      </c>
      <c r="AF46" s="174">
        <f>'R&amp;D budget'!AA52</f>
        <v>0</v>
      </c>
      <c r="AG46" s="174">
        <f>'R&amp;D budget'!AB52</f>
        <v>0</v>
      </c>
      <c r="AH46" s="174">
        <f>'R&amp;D budget'!AC52</f>
        <v>0</v>
      </c>
      <c r="AI46" s="174">
        <f>'R&amp;D budget'!AD52</f>
        <v>0</v>
      </c>
      <c r="AJ46" s="174">
        <f>'R&amp;D budget'!AE52</f>
        <v>0</v>
      </c>
      <c r="AK46" s="174">
        <f>'R&amp;D budget'!AF52</f>
        <v>0</v>
      </c>
      <c r="AL46" s="174">
        <f>'R&amp;D budget'!AG52</f>
        <v>0</v>
      </c>
      <c r="AM46" s="174">
        <f>'R&amp;D budget'!AH52</f>
        <v>0</v>
      </c>
      <c r="AN46" s="174">
        <f>'R&amp;D budget'!AI52</f>
        <v>0</v>
      </c>
      <c r="AO46" s="174">
        <f>'R&amp;D budget'!AJ52</f>
        <v>0</v>
      </c>
      <c r="AP46" s="174">
        <f>'R&amp;D budget'!AK52</f>
        <v>0</v>
      </c>
      <c r="AQ46" s="222">
        <f>'R&amp;D budget'!AL52</f>
        <v>50000</v>
      </c>
      <c r="AR46" s="14">
        <f>AS46+AT46</f>
        <v>50000</v>
      </c>
      <c r="AS46" s="174"/>
      <c r="AT46" s="174">
        <v>50000</v>
      </c>
      <c r="AU46" s="14">
        <f t="shared" si="136"/>
        <v>100000</v>
      </c>
      <c r="AV46" s="174"/>
      <c r="AW46" s="174">
        <v>100000</v>
      </c>
      <c r="AX46" s="15">
        <f>100000</f>
        <v>100000</v>
      </c>
      <c r="AY46" s="174"/>
      <c r="AZ46" s="174">
        <v>100000</v>
      </c>
      <c r="BA46" s="14">
        <f t="shared" si="137"/>
        <v>150000</v>
      </c>
      <c r="BB46" s="174"/>
      <c r="BC46" s="174">
        <v>150000</v>
      </c>
      <c r="BD46" s="15">
        <v>150000</v>
      </c>
      <c r="BE46" s="14">
        <v>200000</v>
      </c>
      <c r="BF46" s="14">
        <v>250000</v>
      </c>
      <c r="BG46" s="14">
        <v>300000</v>
      </c>
      <c r="BI46" s="202"/>
      <c r="BQ46" s="202"/>
    </row>
    <row r="47" spans="2:69" x14ac:dyDescent="0.25">
      <c r="B47" t="s">
        <v>241</v>
      </c>
      <c r="C47" t="s">
        <v>243</v>
      </c>
      <c r="D47" s="30" t="s">
        <v>196</v>
      </c>
      <c r="E47" s="138">
        <f t="shared" si="141"/>
        <v>16000</v>
      </c>
      <c r="F47" s="174">
        <f>'R&amp;D budget'!C55</f>
        <v>0</v>
      </c>
      <c r="G47" s="174">
        <f>'R&amp;D budget'!D55</f>
        <v>500</v>
      </c>
      <c r="H47" s="174">
        <f>'R&amp;D budget'!E55</f>
        <v>500</v>
      </c>
      <c r="I47" s="174">
        <f>'R&amp;D budget'!F55</f>
        <v>0</v>
      </c>
      <c r="J47" s="174">
        <f>'R&amp;D budget'!G55</f>
        <v>0</v>
      </c>
      <c r="K47" s="174">
        <f>'R&amp;D budget'!H55</f>
        <v>0</v>
      </c>
      <c r="L47" s="174">
        <f>'R&amp;D budget'!I55</f>
        <v>0</v>
      </c>
      <c r="M47" s="174">
        <f>'R&amp;D budget'!J55</f>
        <v>3000</v>
      </c>
      <c r="N47" s="174">
        <f>'R&amp;D budget'!K55</f>
        <v>3000</v>
      </c>
      <c r="O47" s="174">
        <f>'R&amp;D budget'!L55</f>
        <v>3000</v>
      </c>
      <c r="P47" s="174">
        <f>'R&amp;D budget'!M55</f>
        <v>3000</v>
      </c>
      <c r="Q47" s="174">
        <f>'R&amp;D budget'!N55</f>
        <v>3000</v>
      </c>
      <c r="R47" s="139">
        <f t="shared" si="134"/>
        <v>40000</v>
      </c>
      <c r="S47" s="174">
        <f>'R&amp;D budget'!O55</f>
        <v>5000</v>
      </c>
      <c r="T47" s="174">
        <f>'R&amp;D budget'!P55</f>
        <v>3000</v>
      </c>
      <c r="U47" s="174">
        <f>'R&amp;D budget'!Q55</f>
        <v>3000</v>
      </c>
      <c r="V47" s="174">
        <f>'R&amp;D budget'!R55</f>
        <v>3000</v>
      </c>
      <c r="W47" s="174">
        <f>'R&amp;D budget'!S55</f>
        <v>3000</v>
      </c>
      <c r="X47" s="174">
        <f>'R&amp;D budget'!T55</f>
        <v>5000</v>
      </c>
      <c r="Y47" s="174">
        <f>'R&amp;D budget'!U55</f>
        <v>3000</v>
      </c>
      <c r="Z47" s="174">
        <f>'R&amp;D budget'!V55</f>
        <v>3000</v>
      </c>
      <c r="AA47" s="174">
        <f>'R&amp;D budget'!W55</f>
        <v>3000</v>
      </c>
      <c r="AB47" s="174">
        <f>'R&amp;D budget'!X55</f>
        <v>3000</v>
      </c>
      <c r="AC47" s="174">
        <f>'R&amp;D budget'!Y55</f>
        <v>3000</v>
      </c>
      <c r="AD47" s="174">
        <f>'R&amp;D budget'!Z55</f>
        <v>3000</v>
      </c>
      <c r="AE47" s="230">
        <f t="shared" si="139"/>
        <v>57000</v>
      </c>
      <c r="AF47" s="174">
        <f>'R&amp;D budget'!AA55</f>
        <v>10000</v>
      </c>
      <c r="AG47" s="174">
        <f>'R&amp;D budget'!AB55</f>
        <v>3000</v>
      </c>
      <c r="AH47" s="174">
        <f>'R&amp;D budget'!AC55</f>
        <v>3000</v>
      </c>
      <c r="AI47" s="174">
        <f>'R&amp;D budget'!AD55</f>
        <v>3000</v>
      </c>
      <c r="AJ47" s="174">
        <f>'R&amp;D budget'!AE55</f>
        <v>3000</v>
      </c>
      <c r="AK47" s="174">
        <f>'R&amp;D budget'!AF55</f>
        <v>5000</v>
      </c>
      <c r="AL47" s="174">
        <f>'R&amp;D budget'!AG55</f>
        <v>5000</v>
      </c>
      <c r="AM47" s="174">
        <f>'R&amp;D budget'!AH55</f>
        <v>5000</v>
      </c>
      <c r="AN47" s="174">
        <f>'R&amp;D budget'!AI55</f>
        <v>5000</v>
      </c>
      <c r="AO47" s="174">
        <f>'R&amp;D budget'!AJ55</f>
        <v>5000</v>
      </c>
      <c r="AP47" s="174">
        <f>'R&amp;D budget'!AK55</f>
        <v>5000</v>
      </c>
      <c r="AQ47" s="222">
        <f>'R&amp;D budget'!AL55</f>
        <v>5000</v>
      </c>
      <c r="AR47" s="14">
        <f t="shared" si="135"/>
        <v>44000</v>
      </c>
      <c r="AS47" s="174">
        <f>SUM(S47:X47)*1.1</f>
        <v>24200.000000000004</v>
      </c>
      <c r="AT47" s="174">
        <f>SUM(Y47:AD47)*1.1</f>
        <v>19800</v>
      </c>
      <c r="AU47" s="14">
        <f t="shared" si="136"/>
        <v>70180</v>
      </c>
      <c r="AV47" s="174">
        <f>AS47*2</f>
        <v>48400.000000000007</v>
      </c>
      <c r="AW47" s="174">
        <f>AT47*1.1</f>
        <v>21780</v>
      </c>
      <c r="AX47" s="15">
        <f>AY47+AZ47</f>
        <v>45738</v>
      </c>
      <c r="AY47" s="174">
        <f>AW47</f>
        <v>21780</v>
      </c>
      <c r="AZ47" s="174">
        <f>AY47*1.1</f>
        <v>23958.000000000004</v>
      </c>
      <c r="BA47" s="14">
        <f t="shared" si="137"/>
        <v>50311.80000000001</v>
      </c>
      <c r="BB47" s="174">
        <f>AZ47</f>
        <v>23958.000000000004</v>
      </c>
      <c r="BC47" s="174">
        <f>BB47*1.1</f>
        <v>26353.800000000007</v>
      </c>
      <c r="BD47" s="15">
        <f>BA47*1.1</f>
        <v>55342.980000000018</v>
      </c>
      <c r="BE47" s="14">
        <f t="shared" si="143"/>
        <v>60877.278000000028</v>
      </c>
      <c r="BF47" s="14">
        <f t="shared" si="140"/>
        <v>66965.005800000043</v>
      </c>
      <c r="BG47" s="14">
        <f t="shared" si="140"/>
        <v>73661.50638000005</v>
      </c>
    </row>
    <row r="48" spans="2:69" ht="15.6" customHeight="1" thickBot="1" x14ac:dyDescent="0.3">
      <c r="B48" t="s">
        <v>241</v>
      </c>
      <c r="C48" t="s">
        <v>243</v>
      </c>
      <c r="D48" s="159" t="s">
        <v>197</v>
      </c>
      <c r="E48" s="140">
        <f t="shared" si="141"/>
        <v>11428.571428571429</v>
      </c>
      <c r="F48" s="178">
        <f>'R&amp;D budget'!C57</f>
        <v>0</v>
      </c>
      <c r="G48" s="178">
        <f>'R&amp;D budget'!D57</f>
        <v>0</v>
      </c>
      <c r="H48" s="178">
        <f>'R&amp;D budget'!E57</f>
        <v>0</v>
      </c>
      <c r="I48" s="178">
        <f>'R&amp;D budget'!F57</f>
        <v>0</v>
      </c>
      <c r="J48" s="178">
        <f>'R&amp;D budget'!G57</f>
        <v>0</v>
      </c>
      <c r="K48" s="178">
        <f>'R&amp;D budget'!H57</f>
        <v>0</v>
      </c>
      <c r="L48" s="178">
        <f>'R&amp;D budget'!I57</f>
        <v>0</v>
      </c>
      <c r="M48" s="178">
        <f>'R&amp;D budget'!J57</f>
        <v>0</v>
      </c>
      <c r="N48" s="178">
        <f>'R&amp;D budget'!K57</f>
        <v>0</v>
      </c>
      <c r="O48" s="178">
        <f>'R&amp;D budget'!L57</f>
        <v>0</v>
      </c>
      <c r="P48" s="178">
        <f>'R&amp;D budget'!M57</f>
        <v>0</v>
      </c>
      <c r="Q48" s="178">
        <f>'R&amp;D budget'!N57</f>
        <v>11428.571428571429</v>
      </c>
      <c r="R48" s="141">
        <f t="shared" si="134"/>
        <v>22857.142857142859</v>
      </c>
      <c r="S48" s="178">
        <f>'R&amp;D budget'!O57</f>
        <v>0</v>
      </c>
      <c r="T48" s="178">
        <f>'R&amp;D budget'!P57</f>
        <v>0</v>
      </c>
      <c r="U48" s="178">
        <f>'R&amp;D budget'!Q57</f>
        <v>0</v>
      </c>
      <c r="V48" s="178">
        <f>'R&amp;D budget'!R57</f>
        <v>0</v>
      </c>
      <c r="W48" s="178">
        <f>'R&amp;D budget'!S57</f>
        <v>0</v>
      </c>
      <c r="X48" s="178">
        <f>'R&amp;D budget'!T57</f>
        <v>0</v>
      </c>
      <c r="Y48" s="178">
        <f>'R&amp;D budget'!U57</f>
        <v>0</v>
      </c>
      <c r="Z48" s="178">
        <f>'R&amp;D budget'!V57</f>
        <v>0</v>
      </c>
      <c r="AA48" s="178">
        <f>'R&amp;D budget'!W57</f>
        <v>0</v>
      </c>
      <c r="AB48" s="178">
        <f>'R&amp;D budget'!X57</f>
        <v>0</v>
      </c>
      <c r="AC48" s="178">
        <f>'R&amp;D budget'!Y57</f>
        <v>0</v>
      </c>
      <c r="AD48" s="178">
        <f>'R&amp;D budget'!Z57</f>
        <v>22857.142857142859</v>
      </c>
      <c r="AE48" s="145">
        <f t="shared" si="139"/>
        <v>22857.142857142859</v>
      </c>
      <c r="AF48" s="178">
        <f>'R&amp;D budget'!AA57</f>
        <v>0</v>
      </c>
      <c r="AG48" s="178">
        <f>'R&amp;D budget'!AB57</f>
        <v>0</v>
      </c>
      <c r="AH48" s="178">
        <f>'R&amp;D budget'!AC57</f>
        <v>0</v>
      </c>
      <c r="AI48" s="178">
        <f>'R&amp;D budget'!AD57</f>
        <v>0</v>
      </c>
      <c r="AJ48" s="178">
        <f>'R&amp;D budget'!AE57</f>
        <v>0</v>
      </c>
      <c r="AK48" s="178">
        <f>'R&amp;D budget'!AF57</f>
        <v>0</v>
      </c>
      <c r="AL48" s="178">
        <f>'R&amp;D budget'!AG57</f>
        <v>0</v>
      </c>
      <c r="AM48" s="178">
        <f>'R&amp;D budget'!AH57</f>
        <v>0</v>
      </c>
      <c r="AN48" s="178">
        <f>'R&amp;D budget'!AI57</f>
        <v>0</v>
      </c>
      <c r="AO48" s="178">
        <f>'R&amp;D budget'!AJ57</f>
        <v>0</v>
      </c>
      <c r="AP48" s="178">
        <f>'R&amp;D budget'!AK57</f>
        <v>0</v>
      </c>
      <c r="AQ48" s="223">
        <f>'R&amp;D budget'!AL57</f>
        <v>22857.142857142859</v>
      </c>
      <c r="AR48" s="24">
        <f t="shared" si="135"/>
        <v>67857</v>
      </c>
      <c r="AS48" s="178">
        <f>22857</f>
        <v>22857</v>
      </c>
      <c r="AT48" s="178">
        <v>45000</v>
      </c>
      <c r="AU48" s="24">
        <f t="shared" si="136"/>
        <v>74642.700000000012</v>
      </c>
      <c r="AV48" s="178">
        <f>AS48*1.1</f>
        <v>25142.7</v>
      </c>
      <c r="AW48" s="178">
        <f>AT48*1.1</f>
        <v>49500.000000000007</v>
      </c>
      <c r="AX48" s="29">
        <f t="shared" ref="AX48" si="145">AY48+AZ48</f>
        <v>114345.00000000003</v>
      </c>
      <c r="AY48" s="178">
        <f>AW48*1.1</f>
        <v>54450.000000000015</v>
      </c>
      <c r="AZ48" s="178">
        <f>AY48*1.1</f>
        <v>59895.000000000022</v>
      </c>
      <c r="BA48" s="24">
        <f t="shared" si="137"/>
        <v>138357.45000000007</v>
      </c>
      <c r="BB48" s="178">
        <f>AZ48*1.1</f>
        <v>65884.500000000029</v>
      </c>
      <c r="BC48" s="178">
        <f>BB48*1.1</f>
        <v>72472.950000000041</v>
      </c>
      <c r="BD48" s="29">
        <f>BA48*1.25</f>
        <v>172946.81250000009</v>
      </c>
      <c r="BE48" s="24">
        <f>BD48*1.25</f>
        <v>216183.51562500012</v>
      </c>
      <c r="BF48" s="24">
        <f t="shared" ref="BF48:BG48" si="146">BE48*1.25</f>
        <v>270229.39453125012</v>
      </c>
      <c r="BG48" s="24">
        <f t="shared" si="146"/>
        <v>337786.74316406262</v>
      </c>
      <c r="BH48" t="s">
        <v>198</v>
      </c>
    </row>
    <row r="49" spans="2:60" ht="15.6" customHeight="1" thickBot="1" x14ac:dyDescent="0.3">
      <c r="B49" t="s">
        <v>241</v>
      </c>
      <c r="C49" t="s">
        <v>245</v>
      </c>
      <c r="D49" s="30" t="s">
        <v>254</v>
      </c>
      <c r="E49" s="275">
        <f>SUMIF($C$41:$C$48,"SG&amp;A",E41:E48)</f>
        <v>246126.23938223938</v>
      </c>
      <c r="F49" s="275">
        <f t="shared" ref="F49:BG49" si="147">SUMIF($C$41:$C$48,"SG&amp;A",F41:F48)</f>
        <v>2172.2857142857142</v>
      </c>
      <c r="G49" s="275">
        <f t="shared" si="147"/>
        <v>700</v>
      </c>
      <c r="H49" s="275">
        <f t="shared" si="147"/>
        <v>12500</v>
      </c>
      <c r="I49" s="275">
        <f t="shared" si="147"/>
        <v>2000</v>
      </c>
      <c r="J49" s="275">
        <f t="shared" si="147"/>
        <v>2000</v>
      </c>
      <c r="K49" s="275">
        <f t="shared" si="147"/>
        <v>10250</v>
      </c>
      <c r="L49" s="275">
        <f t="shared" si="147"/>
        <v>31666.936936936938</v>
      </c>
      <c r="M49" s="275">
        <f t="shared" si="147"/>
        <v>30880</v>
      </c>
      <c r="N49" s="275">
        <f t="shared" si="147"/>
        <v>21080.936936936938</v>
      </c>
      <c r="O49" s="275">
        <f t="shared" si="147"/>
        <v>35494</v>
      </c>
      <c r="P49" s="275">
        <f t="shared" si="147"/>
        <v>18230.936936936938</v>
      </c>
      <c r="Q49" s="275">
        <f t="shared" si="147"/>
        <v>79151.142857142855</v>
      </c>
      <c r="R49" s="275">
        <f t="shared" si="147"/>
        <v>615104.76447876438</v>
      </c>
      <c r="S49" s="275">
        <f t="shared" si="147"/>
        <v>47080.936936936938</v>
      </c>
      <c r="T49" s="275">
        <f t="shared" si="147"/>
        <v>26844</v>
      </c>
      <c r="U49" s="275">
        <f t="shared" si="147"/>
        <v>33780.936936936938</v>
      </c>
      <c r="V49" s="275">
        <f t="shared" si="147"/>
        <v>27394</v>
      </c>
      <c r="W49" s="275">
        <f t="shared" si="147"/>
        <v>28830.936936936938</v>
      </c>
      <c r="X49" s="275">
        <f t="shared" si="147"/>
        <v>92348.57142857142</v>
      </c>
      <c r="Y49" s="275">
        <f t="shared" si="147"/>
        <v>46542.936936936938</v>
      </c>
      <c r="Z49" s="275">
        <f t="shared" si="147"/>
        <v>33106</v>
      </c>
      <c r="AA49" s="275">
        <f t="shared" si="147"/>
        <v>35042.936936936938</v>
      </c>
      <c r="AB49" s="275">
        <f t="shared" si="147"/>
        <v>39456</v>
      </c>
      <c r="AC49" s="275">
        <f t="shared" si="147"/>
        <v>35092.936936936938</v>
      </c>
      <c r="AD49" s="275">
        <f t="shared" si="147"/>
        <v>169584.57142857145</v>
      </c>
      <c r="AE49" s="275">
        <f t="shared" si="147"/>
        <v>771078.19305019313</v>
      </c>
      <c r="AF49" s="275">
        <f t="shared" si="147"/>
        <v>55542.936936936938</v>
      </c>
      <c r="AG49" s="275">
        <f t="shared" si="147"/>
        <v>33206</v>
      </c>
      <c r="AH49" s="275">
        <f t="shared" si="147"/>
        <v>35142.936936936938</v>
      </c>
      <c r="AI49" s="275">
        <f t="shared" si="147"/>
        <v>33756</v>
      </c>
      <c r="AJ49" s="275">
        <f t="shared" si="147"/>
        <v>35192.936936936938</v>
      </c>
      <c r="AK49" s="275">
        <f t="shared" si="147"/>
        <v>91684.57142857142</v>
      </c>
      <c r="AL49" s="275">
        <f t="shared" si="147"/>
        <v>63868.936936936938</v>
      </c>
      <c r="AM49" s="275">
        <f t="shared" si="147"/>
        <v>42632</v>
      </c>
      <c r="AN49" s="275">
        <f t="shared" si="147"/>
        <v>44568.936936936938</v>
      </c>
      <c r="AO49" s="275">
        <f t="shared" si="147"/>
        <v>48182</v>
      </c>
      <c r="AP49" s="275">
        <f t="shared" si="147"/>
        <v>44618.936936936938</v>
      </c>
      <c r="AQ49" s="275">
        <f t="shared" si="147"/>
        <v>242682.00000000003</v>
      </c>
      <c r="AR49" s="275">
        <f t="shared" si="147"/>
        <v>1062084.7837837837</v>
      </c>
      <c r="AS49" s="275">
        <f t="shared" si="147"/>
        <v>469448.89189189189</v>
      </c>
      <c r="AT49" s="275">
        <f t="shared" si="147"/>
        <v>592635.89189189184</v>
      </c>
      <c r="AU49" s="275">
        <f t="shared" si="147"/>
        <v>1375492.6121621621</v>
      </c>
      <c r="AV49" s="275">
        <f t="shared" si="147"/>
        <v>573559.78108108102</v>
      </c>
      <c r="AW49" s="275">
        <f t="shared" si="147"/>
        <v>801932.83108108107</v>
      </c>
      <c r="AX49" s="275">
        <f t="shared" si="147"/>
        <v>1905108.6533783784</v>
      </c>
      <c r="AY49" s="275">
        <f t="shared" si="147"/>
        <v>801358.78918918921</v>
      </c>
      <c r="AZ49" s="275">
        <f t="shared" si="147"/>
        <v>1103749.8641891892</v>
      </c>
      <c r="BA49" s="275">
        <f t="shared" si="147"/>
        <v>2544512.8812162164</v>
      </c>
      <c r="BB49" s="275">
        <f t="shared" si="147"/>
        <v>1109413.9181081082</v>
      </c>
      <c r="BC49" s="275">
        <f t="shared" si="147"/>
        <v>1435098.9631081081</v>
      </c>
      <c r="BD49" s="275">
        <f t="shared" si="147"/>
        <v>2919998.2805878376</v>
      </c>
      <c r="BE49" s="275">
        <f t="shared" si="147"/>
        <v>3589346.3805216216</v>
      </c>
      <c r="BF49" s="275">
        <f t="shared" si="147"/>
        <v>4406216.3584175343</v>
      </c>
      <c r="BG49" s="275">
        <f t="shared" si="147"/>
        <v>5406757.1690639742</v>
      </c>
    </row>
    <row r="50" spans="2:60" ht="15" customHeight="1" x14ac:dyDescent="0.25">
      <c r="B50" t="s">
        <v>241</v>
      </c>
      <c r="C50" t="s">
        <v>245</v>
      </c>
      <c r="D50" s="209" t="s">
        <v>199</v>
      </c>
      <c r="E50" s="210">
        <f t="shared" ref="E50:AQ50" si="148">E20-E32-E40-E49</f>
        <v>-620242.23938223941</v>
      </c>
      <c r="F50" s="210">
        <f t="shared" si="148"/>
        <v>-52172.285714285717</v>
      </c>
      <c r="G50" s="210">
        <f t="shared" si="148"/>
        <v>-700</v>
      </c>
      <c r="H50" s="210">
        <f t="shared" si="148"/>
        <v>-12500</v>
      </c>
      <c r="I50" s="210">
        <f t="shared" si="148"/>
        <v>-2000</v>
      </c>
      <c r="J50" s="210">
        <f t="shared" si="148"/>
        <v>-2000</v>
      </c>
      <c r="K50" s="210">
        <f t="shared" si="148"/>
        <v>-15250</v>
      </c>
      <c r="L50" s="210">
        <f t="shared" si="148"/>
        <v>-79296.936936936938</v>
      </c>
      <c r="M50" s="210">
        <f t="shared" si="148"/>
        <v>-59010</v>
      </c>
      <c r="N50" s="210">
        <f t="shared" si="148"/>
        <v>-73966.936936936938</v>
      </c>
      <c r="O50" s="210">
        <f t="shared" si="148"/>
        <v>-90900</v>
      </c>
      <c r="P50" s="210">
        <f t="shared" si="148"/>
        <v>-90412.936936936938</v>
      </c>
      <c r="Q50" s="210">
        <f t="shared" si="148"/>
        <v>-142033.14285714284</v>
      </c>
      <c r="R50" s="210">
        <f t="shared" si="148"/>
        <v>-2652916.7644787645</v>
      </c>
      <c r="S50" s="210">
        <f t="shared" si="148"/>
        <v>-227425.60360360361</v>
      </c>
      <c r="T50" s="210">
        <f t="shared" si="148"/>
        <v>-100588.66666666667</v>
      </c>
      <c r="U50" s="210">
        <f t="shared" si="148"/>
        <v>-106625.60360360361</v>
      </c>
      <c r="V50" s="210">
        <f t="shared" si="148"/>
        <v>-121138.66666666667</v>
      </c>
      <c r="W50" s="210">
        <f t="shared" si="148"/>
        <v>-836675.60360360355</v>
      </c>
      <c r="X50" s="210">
        <f t="shared" si="148"/>
        <v>-167093.23809523811</v>
      </c>
      <c r="Y50" s="210">
        <f t="shared" si="148"/>
        <v>-130893.60360360361</v>
      </c>
      <c r="Z50" s="210">
        <f t="shared" si="148"/>
        <v>-118956.66666666667</v>
      </c>
      <c r="AA50" s="210">
        <f t="shared" si="148"/>
        <v>-149393.60360360361</v>
      </c>
      <c r="AB50" s="210">
        <f t="shared" si="148"/>
        <v>-133286.66666666669</v>
      </c>
      <c r="AC50" s="210">
        <f t="shared" si="148"/>
        <v>-297423.60360360361</v>
      </c>
      <c r="AD50" s="210">
        <f t="shared" si="148"/>
        <v>-263415.23809523811</v>
      </c>
      <c r="AE50" s="210">
        <f t="shared" si="148"/>
        <v>-3307670.1930501931</v>
      </c>
      <c r="AF50" s="210">
        <f t="shared" si="148"/>
        <v>-185149.60360360361</v>
      </c>
      <c r="AG50" s="210">
        <f t="shared" si="148"/>
        <v>-134312.66666666669</v>
      </c>
      <c r="AH50" s="210">
        <f t="shared" si="148"/>
        <v>-134749.60360360361</v>
      </c>
      <c r="AI50" s="210">
        <f t="shared" si="148"/>
        <v>-154862.66666666669</v>
      </c>
      <c r="AJ50" s="210">
        <f t="shared" si="148"/>
        <v>-869799.60360360355</v>
      </c>
      <c r="AK50" s="210">
        <f t="shared" si="148"/>
        <v>-192791.23809523811</v>
      </c>
      <c r="AL50" s="210">
        <f t="shared" si="148"/>
        <v>-178027.60360360361</v>
      </c>
      <c r="AM50" s="210">
        <f t="shared" si="148"/>
        <v>-158290.66666666669</v>
      </c>
      <c r="AN50" s="210">
        <f t="shared" si="148"/>
        <v>-388727.60360360361</v>
      </c>
      <c r="AO50" s="210">
        <f t="shared" si="148"/>
        <v>-163840.66666666669</v>
      </c>
      <c r="AP50" s="210">
        <f t="shared" si="148"/>
        <v>-158777.60360360361</v>
      </c>
      <c r="AQ50" s="210">
        <f t="shared" si="148"/>
        <v>-588340.66666666674</v>
      </c>
      <c r="AR50" s="210">
        <f>AR20-AR32-AR40-AR49</f>
        <v>-5276253.3764921166</v>
      </c>
      <c r="AS50" s="210">
        <f t="shared" ref="AS50" si="149">AS20-AS32-AS40-AS49</f>
        <v>-2184682.7783502252</v>
      </c>
      <c r="AT50" s="210">
        <f t="shared" ref="AT50" si="150">AT20-AT32-AT40-AT49</f>
        <v>-3091570.5981418919</v>
      </c>
      <c r="AU50" s="210">
        <f t="shared" ref="AU50" si="151">AU20-AU32-AU40-AU49</f>
        <v>-6746547.6402871627</v>
      </c>
      <c r="AV50" s="210">
        <f t="shared" ref="AV50" si="152">AV20-AV32-AV40-AV49</f>
        <v>-3263896.2935810811</v>
      </c>
      <c r="AW50" s="210">
        <f t="shared" ref="AW50" si="153">AW20-AW32-AW40-AW49</f>
        <v>-3482651.3467060812</v>
      </c>
      <c r="AX50" s="210">
        <f t="shared" ref="AX50" si="154">AX20-AX32-AX40-AX49</f>
        <v>-4619991.624628379</v>
      </c>
      <c r="AY50" s="210">
        <f t="shared" ref="AY50" si="155">AY20-AY32-AY40-AY49</f>
        <v>-2093274.4079391891</v>
      </c>
      <c r="AZ50" s="210">
        <f t="shared" ref="AZ50" si="156">AZ20-AZ32-AZ40-AZ49</f>
        <v>-2526717.216689189</v>
      </c>
      <c r="BA50" s="210">
        <f t="shared" ref="BA50" si="157">BA20-BA32-BA40-BA49</f>
        <v>-3358351.9073412167</v>
      </c>
      <c r="BB50" s="210">
        <f t="shared" ref="BB50" si="158">BB20-BB32-BB40-BB49</f>
        <v>-1689154.5206081083</v>
      </c>
      <c r="BC50" s="210">
        <f t="shared" ref="BC50" si="159">BC20-BC32-BC40-BC49</f>
        <v>-1659342.3867331084</v>
      </c>
      <c r="BD50" s="210">
        <f t="shared" ref="BD50" si="160">BD20-BD32-BD40-BD49</f>
        <v>1836255.5986184119</v>
      </c>
      <c r="BE50" s="210">
        <f t="shared" ref="BE50" si="161">BE20-BE32-BE40-BE49</f>
        <v>10972390.306978378</v>
      </c>
      <c r="BF50" s="210">
        <f t="shared" ref="BF50" si="162">BF20-BF32-BF40-BF49</f>
        <v>44005684.391582467</v>
      </c>
      <c r="BG50" s="210">
        <f t="shared" ref="BG50" si="163">BG20-BG32-BG40-BG49</f>
        <v>82013376.39343603</v>
      </c>
    </row>
    <row r="51" spans="2:60" x14ac:dyDescent="0.25">
      <c r="B51" t="s">
        <v>241</v>
      </c>
      <c r="C51" t="s">
        <v>245</v>
      </c>
      <c r="D51" s="3" t="s">
        <v>200</v>
      </c>
      <c r="E51" s="206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201"/>
      <c r="Q51" s="201"/>
      <c r="R51" s="263">
        <f>$E$59/10</f>
        <v>29600</v>
      </c>
      <c r="S51" s="250"/>
      <c r="T51" s="250"/>
      <c r="U51" s="250"/>
      <c r="V51" s="250"/>
      <c r="W51" s="250"/>
      <c r="X51" s="250"/>
      <c r="Y51" s="250"/>
      <c r="Z51" s="250"/>
      <c r="AA51" s="250"/>
      <c r="AB51" s="250"/>
      <c r="AC51" s="250"/>
      <c r="AD51" s="250">
        <f>$E$59/10</f>
        <v>29600</v>
      </c>
      <c r="AE51" s="264">
        <f>$E$59/10+$R$59/10</f>
        <v>52705</v>
      </c>
      <c r="AF51" s="250"/>
      <c r="AG51" s="250"/>
      <c r="AH51" s="250"/>
      <c r="AI51" s="250"/>
      <c r="AJ51" s="250"/>
      <c r="AK51" s="250"/>
      <c r="AL51" s="250"/>
      <c r="AM51" s="250"/>
      <c r="AN51" s="250"/>
      <c r="AO51" s="250"/>
      <c r="AP51" s="250"/>
      <c r="AQ51" s="265">
        <f>$E$59/10+$R$59/10</f>
        <v>52705</v>
      </c>
      <c r="AR51" s="263">
        <f>$E$59/10+$R$59/10+$AE$59/10</f>
        <v>54310</v>
      </c>
      <c r="AS51" s="250"/>
      <c r="AT51" s="250">
        <f>$E$59/10+$R$59/10+$AE$59/10</f>
        <v>54310</v>
      </c>
      <c r="AU51" s="263">
        <f>$E$59/10+$R$59/10+$AE$59/10+$AR$59*0.04</f>
        <v>654310</v>
      </c>
      <c r="AV51" s="250"/>
      <c r="AW51" s="250">
        <f>$E$59/10+$R$59/10+$AE$59/10+$AR$59*0.04</f>
        <v>654310</v>
      </c>
      <c r="AX51" s="266">
        <f>$E$59/10+$R$59/10+$AE$59/10+$AR$59*0.04+$AU$59/10</f>
        <v>854310</v>
      </c>
      <c r="AY51" s="250"/>
      <c r="AZ51" s="250">
        <f>$E$59/10+$R$59/10+$AE$59/10+$AR$59*0.04+$AU$59/10</f>
        <v>854310</v>
      </c>
      <c r="BA51" s="263">
        <f>$E$59/10+$R$59/10+$AE$59/10+$AR$59*0.04+$AU$59/10</f>
        <v>854310</v>
      </c>
      <c r="BB51" s="250"/>
      <c r="BC51" s="250">
        <f>$E$59/10+$R$59/10+$AE$59/10+$AR$59*0.04+$AU$59/10</f>
        <v>854310</v>
      </c>
      <c r="BD51" s="266">
        <f>$E$59/10+$R$59/10+$AE$59/10+$AR$59*0.04+$AU$59/10+$BA$59/10</f>
        <v>904310</v>
      </c>
      <c r="BE51" s="263">
        <f>$E$59/10+$R$59/10+$AE$59/10+$AR$59*0.04+$AU$59/10+$BA$59/10+$BD$59/10</f>
        <v>934310</v>
      </c>
      <c r="BF51" s="263">
        <f>$E$59/10+$R$59/10+$AE$59/10+$AR$59*0.04+$AU$59/10+$BA$59/10+$BD$59/10+BE59/10</f>
        <v>934310</v>
      </c>
      <c r="BG51" s="263">
        <f>$E$59/10+$R$59/10+$AE$59/10+$AR$59*0.04+$AU$59/10+$BA$59/10+$BD$59/10+BE59/10+BF59/10</f>
        <v>934310</v>
      </c>
      <c r="BH51" t="s">
        <v>201</v>
      </c>
    </row>
    <row r="52" spans="2:60" x14ac:dyDescent="0.25">
      <c r="B52" t="s">
        <v>241</v>
      </c>
      <c r="C52" t="s">
        <v>245</v>
      </c>
      <c r="D52" s="211" t="s">
        <v>202</v>
      </c>
      <c r="E52" s="212">
        <f t="shared" ref="E52:AJ52" si="164">E50-E51</f>
        <v>-620242.23938223941</v>
      </c>
      <c r="F52" s="213">
        <f t="shared" si="164"/>
        <v>-52172.285714285717</v>
      </c>
      <c r="G52" s="213">
        <f t="shared" si="164"/>
        <v>-700</v>
      </c>
      <c r="H52" s="213">
        <f t="shared" si="164"/>
        <v>-12500</v>
      </c>
      <c r="I52" s="213">
        <f t="shared" si="164"/>
        <v>-2000</v>
      </c>
      <c r="J52" s="213">
        <f t="shared" si="164"/>
        <v>-2000</v>
      </c>
      <c r="K52" s="213">
        <f t="shared" si="164"/>
        <v>-15250</v>
      </c>
      <c r="L52" s="213">
        <f t="shared" si="164"/>
        <v>-79296.936936936938</v>
      </c>
      <c r="M52" s="213">
        <f t="shared" si="164"/>
        <v>-59010</v>
      </c>
      <c r="N52" s="213">
        <f t="shared" si="164"/>
        <v>-73966.936936936938</v>
      </c>
      <c r="O52" s="213">
        <f t="shared" si="164"/>
        <v>-90900</v>
      </c>
      <c r="P52" s="213">
        <f t="shared" si="164"/>
        <v>-90412.936936936938</v>
      </c>
      <c r="Q52" s="213">
        <f t="shared" si="164"/>
        <v>-142033.14285714284</v>
      </c>
      <c r="R52" s="212">
        <f t="shared" si="164"/>
        <v>-2682516.7644787645</v>
      </c>
      <c r="S52" s="213">
        <f t="shared" si="164"/>
        <v>-227425.60360360361</v>
      </c>
      <c r="T52" s="213">
        <f t="shared" si="164"/>
        <v>-100588.66666666667</v>
      </c>
      <c r="U52" s="213">
        <f t="shared" si="164"/>
        <v>-106625.60360360361</v>
      </c>
      <c r="V52" s="213">
        <f t="shared" si="164"/>
        <v>-121138.66666666667</v>
      </c>
      <c r="W52" s="213">
        <f t="shared" si="164"/>
        <v>-836675.60360360355</v>
      </c>
      <c r="X52" s="213">
        <f t="shared" si="164"/>
        <v>-167093.23809523811</v>
      </c>
      <c r="Y52" s="213">
        <f t="shared" si="164"/>
        <v>-130893.60360360361</v>
      </c>
      <c r="Z52" s="213">
        <f t="shared" si="164"/>
        <v>-118956.66666666667</v>
      </c>
      <c r="AA52" s="213">
        <f t="shared" si="164"/>
        <v>-149393.60360360361</v>
      </c>
      <c r="AB52" s="213">
        <f t="shared" si="164"/>
        <v>-133286.66666666669</v>
      </c>
      <c r="AC52" s="213">
        <f t="shared" si="164"/>
        <v>-297423.60360360361</v>
      </c>
      <c r="AD52" s="213">
        <f t="shared" si="164"/>
        <v>-293015.23809523811</v>
      </c>
      <c r="AE52" s="226">
        <f t="shared" si="164"/>
        <v>-3360375.1930501931</v>
      </c>
      <c r="AF52" s="213">
        <f t="shared" si="164"/>
        <v>-185149.60360360361</v>
      </c>
      <c r="AG52" s="213">
        <f t="shared" si="164"/>
        <v>-134312.66666666669</v>
      </c>
      <c r="AH52" s="213">
        <f t="shared" si="164"/>
        <v>-134749.60360360361</v>
      </c>
      <c r="AI52" s="213">
        <f t="shared" si="164"/>
        <v>-154862.66666666669</v>
      </c>
      <c r="AJ52" s="213">
        <f t="shared" si="164"/>
        <v>-869799.60360360355</v>
      </c>
      <c r="AK52" s="213">
        <f t="shared" ref="AK52:BG52" si="165">AK50-AK51</f>
        <v>-192791.23809523811</v>
      </c>
      <c r="AL52" s="213">
        <f t="shared" si="165"/>
        <v>-178027.60360360361</v>
      </c>
      <c r="AM52" s="213">
        <f t="shared" si="165"/>
        <v>-158290.66666666669</v>
      </c>
      <c r="AN52" s="213">
        <f t="shared" si="165"/>
        <v>-388727.60360360361</v>
      </c>
      <c r="AO52" s="213">
        <f t="shared" si="165"/>
        <v>-163840.66666666669</v>
      </c>
      <c r="AP52" s="213">
        <f t="shared" si="165"/>
        <v>-158777.60360360361</v>
      </c>
      <c r="AQ52" s="233">
        <f t="shared" si="165"/>
        <v>-641045.66666666674</v>
      </c>
      <c r="AR52" s="212">
        <f t="shared" si="165"/>
        <v>-5330563.3764921166</v>
      </c>
      <c r="AS52" s="213">
        <f t="shared" si="165"/>
        <v>-2184682.7783502252</v>
      </c>
      <c r="AT52" s="213">
        <f t="shared" si="165"/>
        <v>-3145880.5981418919</v>
      </c>
      <c r="AU52" s="212">
        <f t="shared" si="165"/>
        <v>-7400857.6402871627</v>
      </c>
      <c r="AV52" s="213">
        <f t="shared" si="165"/>
        <v>-3263896.2935810811</v>
      </c>
      <c r="AW52" s="213">
        <f t="shared" si="165"/>
        <v>-4136961.3467060812</v>
      </c>
      <c r="AX52" s="231">
        <f t="shared" si="165"/>
        <v>-5474301.624628379</v>
      </c>
      <c r="AY52" s="213">
        <f t="shared" si="165"/>
        <v>-2093274.4079391891</v>
      </c>
      <c r="AZ52" s="213">
        <f t="shared" si="165"/>
        <v>-3381027.216689189</v>
      </c>
      <c r="BA52" s="212">
        <f t="shared" si="165"/>
        <v>-4212661.9073412167</v>
      </c>
      <c r="BB52" s="213">
        <f t="shared" si="165"/>
        <v>-1689154.5206081083</v>
      </c>
      <c r="BC52" s="213">
        <f t="shared" si="165"/>
        <v>-2513652.3867331082</v>
      </c>
      <c r="BD52" s="231">
        <f t="shared" si="165"/>
        <v>931945.59861841192</v>
      </c>
      <c r="BE52" s="212">
        <f t="shared" si="165"/>
        <v>10038080.306978378</v>
      </c>
      <c r="BF52" s="212">
        <f t="shared" si="165"/>
        <v>43071374.391582467</v>
      </c>
      <c r="BG52" s="212">
        <f t="shared" si="165"/>
        <v>81079066.39343603</v>
      </c>
    </row>
    <row r="53" spans="2:60" x14ac:dyDescent="0.25">
      <c r="B53" t="s">
        <v>241</v>
      </c>
      <c r="C53" t="s">
        <v>245</v>
      </c>
      <c r="D53" s="4" t="s">
        <v>203</v>
      </c>
      <c r="E53" s="18">
        <f>E52</f>
        <v>-620242.23938223941</v>
      </c>
      <c r="F53" s="176">
        <f>F52</f>
        <v>-52172.285714285717</v>
      </c>
      <c r="G53" s="176">
        <f>G52+F53</f>
        <v>-52872.285714285717</v>
      </c>
      <c r="H53" s="176">
        <f t="shared" ref="H53:P53" si="166">H52+G53</f>
        <v>-65372.285714285717</v>
      </c>
      <c r="I53" s="176">
        <f t="shared" si="166"/>
        <v>-67372.28571428571</v>
      </c>
      <c r="J53" s="176">
        <f t="shared" si="166"/>
        <v>-69372.28571428571</v>
      </c>
      <c r="K53" s="176">
        <f t="shared" si="166"/>
        <v>-84622.28571428571</v>
      </c>
      <c r="L53" s="176">
        <f t="shared" si="166"/>
        <v>-163919.22265122266</v>
      </c>
      <c r="M53" s="176">
        <f t="shared" si="166"/>
        <v>-222929.22265122266</v>
      </c>
      <c r="N53" s="176">
        <f t="shared" si="166"/>
        <v>-296896.15958815959</v>
      </c>
      <c r="O53" s="176">
        <f t="shared" si="166"/>
        <v>-387796.15958815959</v>
      </c>
      <c r="P53" s="176">
        <f t="shared" si="166"/>
        <v>-478209.09652509651</v>
      </c>
      <c r="Q53" s="176">
        <f>Q52+P53</f>
        <v>-620242.23938223929</v>
      </c>
      <c r="R53" s="17">
        <f>R52+E53</f>
        <v>-3302759.003861004</v>
      </c>
      <c r="S53" s="176">
        <f>S52+Q53</f>
        <v>-847667.84298584284</v>
      </c>
      <c r="T53" s="176">
        <f>T52+S53</f>
        <v>-948256.50965250947</v>
      </c>
      <c r="U53" s="176">
        <f t="shared" ref="U53:AC53" si="167">U52+T53</f>
        <v>-1054882.1132561131</v>
      </c>
      <c r="V53" s="176">
        <f t="shared" si="167"/>
        <v>-1176020.7799227799</v>
      </c>
      <c r="W53" s="176">
        <f t="shared" si="167"/>
        <v>-2012696.3835263834</v>
      </c>
      <c r="X53" s="176">
        <f t="shared" si="167"/>
        <v>-2179789.6216216218</v>
      </c>
      <c r="Y53" s="176">
        <f t="shared" si="167"/>
        <v>-2310683.2252252256</v>
      </c>
      <c r="Z53" s="176">
        <f t="shared" si="167"/>
        <v>-2429639.8918918921</v>
      </c>
      <c r="AA53" s="176">
        <f t="shared" si="167"/>
        <v>-2579033.4954954959</v>
      </c>
      <c r="AB53" s="176">
        <f t="shared" si="167"/>
        <v>-2712320.1621621624</v>
      </c>
      <c r="AC53" s="176">
        <f t="shared" si="167"/>
        <v>-3009743.7657657661</v>
      </c>
      <c r="AD53" s="176">
        <f>AD52+AC53</f>
        <v>-3302759.0038610045</v>
      </c>
      <c r="AE53" s="227">
        <f>AE52+R53</f>
        <v>-6663134.1969111972</v>
      </c>
      <c r="AF53" s="176">
        <f>AF52+AD53</f>
        <v>-3487908.6074646083</v>
      </c>
      <c r="AG53" s="176">
        <f>AG52+AF53</f>
        <v>-3622221.2741312748</v>
      </c>
      <c r="AH53" s="176">
        <f t="shared" ref="AH53:AP53" si="168">AH52+AG53</f>
        <v>-3756970.8777348786</v>
      </c>
      <c r="AI53" s="176">
        <f t="shared" si="168"/>
        <v>-3911833.5444015451</v>
      </c>
      <c r="AJ53" s="176">
        <f t="shared" si="168"/>
        <v>-4781633.1480051484</v>
      </c>
      <c r="AK53" s="176">
        <f t="shared" si="168"/>
        <v>-4974424.3861003863</v>
      </c>
      <c r="AL53" s="176">
        <f t="shared" si="168"/>
        <v>-5152451.9897039896</v>
      </c>
      <c r="AM53" s="176">
        <f t="shared" si="168"/>
        <v>-5310742.6563706566</v>
      </c>
      <c r="AN53" s="176">
        <f t="shared" si="168"/>
        <v>-5699470.2599742599</v>
      </c>
      <c r="AO53" s="176">
        <f t="shared" si="168"/>
        <v>-5863310.9266409269</v>
      </c>
      <c r="AP53" s="176">
        <f t="shared" si="168"/>
        <v>-6022088.5302445302</v>
      </c>
      <c r="AQ53" s="224">
        <f>AQ52+AP53</f>
        <v>-6663134.1969111972</v>
      </c>
      <c r="AR53" s="17">
        <f>AR52+AE53</f>
        <v>-11993697.573403314</v>
      </c>
      <c r="AS53" s="176">
        <f>AS52+AQ53</f>
        <v>-8847816.9752614219</v>
      </c>
      <c r="AT53" s="176">
        <f>AT52+AS53</f>
        <v>-11993697.573403314</v>
      </c>
      <c r="AU53" s="17">
        <f>AU52+AR53</f>
        <v>-19394555.213690475</v>
      </c>
      <c r="AV53" s="176">
        <f>AV52+AT53</f>
        <v>-15257593.866984395</v>
      </c>
      <c r="AW53" s="176">
        <f>AW52+AV53</f>
        <v>-19394555.213690475</v>
      </c>
      <c r="AX53" s="18">
        <f>AX52+AU53</f>
        <v>-24868856.838318855</v>
      </c>
      <c r="AY53" s="176">
        <f>AY52+AW53</f>
        <v>-21487829.621629663</v>
      </c>
      <c r="AZ53" s="176">
        <f>AZ52+AY53</f>
        <v>-24868856.838318851</v>
      </c>
      <c r="BA53" s="17">
        <f>BA52+AX53</f>
        <v>-29081518.74566007</v>
      </c>
      <c r="BB53" s="176">
        <f>BB52+AZ53</f>
        <v>-26558011.358926959</v>
      </c>
      <c r="BC53" s="176">
        <f>BC52+BB53</f>
        <v>-29071663.745660067</v>
      </c>
      <c r="BD53" s="18">
        <f>BD52+BA53</f>
        <v>-28149573.14704166</v>
      </c>
      <c r="BE53" s="17">
        <f>BE52+BD53</f>
        <v>-18111492.840063281</v>
      </c>
      <c r="BF53" s="17">
        <f>BF52+BE53</f>
        <v>24959881.551519185</v>
      </c>
      <c r="BG53" s="17">
        <f>BG52+BF53</f>
        <v>106038947.94495521</v>
      </c>
    </row>
    <row r="54" spans="2:60" ht="18.75" customHeight="1" x14ac:dyDescent="0.25">
      <c r="B54" t="s">
        <v>241</v>
      </c>
      <c r="C54" t="s">
        <v>244</v>
      </c>
      <c r="D54" s="3" t="s">
        <v>204</v>
      </c>
      <c r="E54" s="207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>
        <f>E54</f>
        <v>0</v>
      </c>
      <c r="R54" s="14">
        <v>0</v>
      </c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225">
        <v>0</v>
      </c>
      <c r="AF54" s="174"/>
      <c r="AG54" s="174"/>
      <c r="AH54" s="174"/>
      <c r="AI54" s="174"/>
      <c r="AJ54" s="174"/>
      <c r="AK54" s="174"/>
      <c r="AL54" s="174"/>
      <c r="AM54" s="174"/>
      <c r="AN54" s="174"/>
      <c r="AO54" s="174"/>
      <c r="AP54" s="174"/>
      <c r="AQ54" s="222"/>
      <c r="AR54" s="14">
        <v>0</v>
      </c>
      <c r="AS54" s="174"/>
      <c r="AT54" s="174"/>
      <c r="AU54" s="14">
        <v>0</v>
      </c>
      <c r="AV54" s="174"/>
      <c r="AW54" s="174"/>
      <c r="AX54" s="15">
        <f>'Bank loan'!Q9</f>
        <v>750000</v>
      </c>
      <c r="AY54" s="174"/>
      <c r="AZ54" s="174">
        <f>AX54</f>
        <v>750000</v>
      </c>
      <c r="BA54" s="14">
        <f>'Bank loan'!R9</f>
        <v>727318.05960698146</v>
      </c>
      <c r="BB54" s="174"/>
      <c r="BC54" s="174">
        <f>BA54</f>
        <v>727318.05960698146</v>
      </c>
      <c r="BD54" s="15">
        <f>'Bank loan'!S9</f>
        <v>703502.02219431207</v>
      </c>
      <c r="BE54" s="14">
        <f>'Bank loan'!T9</f>
        <v>678495.18291100918</v>
      </c>
      <c r="BF54" s="14">
        <f>'Bank loan'!U9</f>
        <v>652238.00166354119</v>
      </c>
      <c r="BG54" s="14">
        <f>'Bank loan'!V9</f>
        <v>624667.96135369968</v>
      </c>
      <c r="BH54" t="s">
        <v>205</v>
      </c>
    </row>
    <row r="55" spans="2:60" ht="18.75" customHeight="1" thickBot="1" x14ac:dyDescent="0.3">
      <c r="B55" t="s">
        <v>241</v>
      </c>
      <c r="C55" t="s">
        <v>244</v>
      </c>
      <c r="D55" s="3" t="s">
        <v>206</v>
      </c>
      <c r="E55" s="207">
        <v>0</v>
      </c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4">
        <v>0</v>
      </c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225">
        <v>0</v>
      </c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222"/>
      <c r="AR55" s="14">
        <v>0</v>
      </c>
      <c r="AS55" s="174"/>
      <c r="AT55" s="174"/>
      <c r="AU55" s="14">
        <v>0</v>
      </c>
      <c r="AV55" s="174"/>
      <c r="AW55" s="174"/>
      <c r="AX55" s="15">
        <v>0</v>
      </c>
      <c r="AY55" s="174"/>
      <c r="AZ55" s="174"/>
      <c r="BA55" s="14">
        <v>0</v>
      </c>
      <c r="BB55" s="174"/>
      <c r="BC55" s="174"/>
      <c r="BD55" s="15">
        <v>0</v>
      </c>
      <c r="BE55" s="14">
        <v>0</v>
      </c>
      <c r="BF55" s="14">
        <v>0</v>
      </c>
      <c r="BG55" s="14">
        <v>0</v>
      </c>
      <c r="BH55" t="s">
        <v>207</v>
      </c>
    </row>
    <row r="56" spans="2:60" ht="18.75" customHeight="1" x14ac:dyDescent="0.25">
      <c r="B56" t="s">
        <v>241</v>
      </c>
      <c r="C56" t="s">
        <v>245</v>
      </c>
      <c r="D56" s="216" t="s">
        <v>208</v>
      </c>
      <c r="E56" s="217">
        <f t="shared" ref="E56:AJ56" si="169">E52-E54-E55</f>
        <v>-620242.23938223941</v>
      </c>
      <c r="F56" s="218">
        <f t="shared" si="169"/>
        <v>-52172.285714285717</v>
      </c>
      <c r="G56" s="218">
        <f t="shared" si="169"/>
        <v>-700</v>
      </c>
      <c r="H56" s="218">
        <f t="shared" si="169"/>
        <v>-12500</v>
      </c>
      <c r="I56" s="218">
        <f t="shared" si="169"/>
        <v>-2000</v>
      </c>
      <c r="J56" s="218">
        <f t="shared" si="169"/>
        <v>-2000</v>
      </c>
      <c r="K56" s="218">
        <f t="shared" si="169"/>
        <v>-15250</v>
      </c>
      <c r="L56" s="218">
        <f t="shared" si="169"/>
        <v>-79296.936936936938</v>
      </c>
      <c r="M56" s="218">
        <f t="shared" si="169"/>
        <v>-59010</v>
      </c>
      <c r="N56" s="218">
        <f t="shared" si="169"/>
        <v>-73966.936936936938</v>
      </c>
      <c r="O56" s="218">
        <f t="shared" si="169"/>
        <v>-90900</v>
      </c>
      <c r="P56" s="218">
        <f t="shared" si="169"/>
        <v>-90412.936936936938</v>
      </c>
      <c r="Q56" s="218">
        <f t="shared" si="169"/>
        <v>-142033.14285714284</v>
      </c>
      <c r="R56" s="219">
        <f t="shared" si="169"/>
        <v>-2682516.7644787645</v>
      </c>
      <c r="S56" s="218">
        <f t="shared" si="169"/>
        <v>-227425.60360360361</v>
      </c>
      <c r="T56" s="218">
        <f t="shared" si="169"/>
        <v>-100588.66666666667</v>
      </c>
      <c r="U56" s="218">
        <f t="shared" si="169"/>
        <v>-106625.60360360361</v>
      </c>
      <c r="V56" s="218">
        <f t="shared" si="169"/>
        <v>-121138.66666666667</v>
      </c>
      <c r="W56" s="218">
        <f t="shared" si="169"/>
        <v>-836675.60360360355</v>
      </c>
      <c r="X56" s="218">
        <f t="shared" si="169"/>
        <v>-167093.23809523811</v>
      </c>
      <c r="Y56" s="218">
        <f t="shared" si="169"/>
        <v>-130893.60360360361</v>
      </c>
      <c r="Z56" s="218">
        <f t="shared" si="169"/>
        <v>-118956.66666666667</v>
      </c>
      <c r="AA56" s="218">
        <f t="shared" si="169"/>
        <v>-149393.60360360361</v>
      </c>
      <c r="AB56" s="218">
        <f t="shared" si="169"/>
        <v>-133286.66666666669</v>
      </c>
      <c r="AC56" s="218">
        <f t="shared" si="169"/>
        <v>-297423.60360360361</v>
      </c>
      <c r="AD56" s="218">
        <f t="shared" si="169"/>
        <v>-293015.23809523811</v>
      </c>
      <c r="AE56" s="228">
        <f t="shared" si="169"/>
        <v>-3360375.1930501931</v>
      </c>
      <c r="AF56" s="218">
        <f t="shared" si="169"/>
        <v>-185149.60360360361</v>
      </c>
      <c r="AG56" s="218">
        <f t="shared" si="169"/>
        <v>-134312.66666666669</v>
      </c>
      <c r="AH56" s="218">
        <f t="shared" si="169"/>
        <v>-134749.60360360361</v>
      </c>
      <c r="AI56" s="218">
        <f t="shared" si="169"/>
        <v>-154862.66666666669</v>
      </c>
      <c r="AJ56" s="218">
        <f t="shared" si="169"/>
        <v>-869799.60360360355</v>
      </c>
      <c r="AK56" s="218">
        <f t="shared" ref="AK56:BG56" si="170">AK52-AK54-AK55</f>
        <v>-192791.23809523811</v>
      </c>
      <c r="AL56" s="218">
        <f t="shared" si="170"/>
        <v>-178027.60360360361</v>
      </c>
      <c r="AM56" s="218">
        <f t="shared" si="170"/>
        <v>-158290.66666666669</v>
      </c>
      <c r="AN56" s="218">
        <f t="shared" si="170"/>
        <v>-388727.60360360361</v>
      </c>
      <c r="AO56" s="218">
        <f t="shared" si="170"/>
        <v>-163840.66666666669</v>
      </c>
      <c r="AP56" s="218">
        <f t="shared" si="170"/>
        <v>-158777.60360360361</v>
      </c>
      <c r="AQ56" s="234">
        <f t="shared" si="170"/>
        <v>-641045.66666666674</v>
      </c>
      <c r="AR56" s="219">
        <f t="shared" si="170"/>
        <v>-5330563.3764921166</v>
      </c>
      <c r="AS56" s="218">
        <f t="shared" si="170"/>
        <v>-2184682.7783502252</v>
      </c>
      <c r="AT56" s="218">
        <f t="shared" si="170"/>
        <v>-3145880.5981418919</v>
      </c>
      <c r="AU56" s="219">
        <f t="shared" si="170"/>
        <v>-7400857.6402871627</v>
      </c>
      <c r="AV56" s="218">
        <f t="shared" si="170"/>
        <v>-3263896.2935810811</v>
      </c>
      <c r="AW56" s="218">
        <f t="shared" si="170"/>
        <v>-4136961.3467060812</v>
      </c>
      <c r="AX56" s="220">
        <f t="shared" si="170"/>
        <v>-6224301.624628379</v>
      </c>
      <c r="AY56" s="218">
        <f t="shared" si="170"/>
        <v>-2093274.4079391891</v>
      </c>
      <c r="AZ56" s="218">
        <f t="shared" si="170"/>
        <v>-4131027.216689189</v>
      </c>
      <c r="BA56" s="219">
        <f t="shared" si="170"/>
        <v>-4939979.9669481982</v>
      </c>
      <c r="BB56" s="218">
        <f t="shared" si="170"/>
        <v>-1689154.5206081083</v>
      </c>
      <c r="BC56" s="218">
        <f t="shared" si="170"/>
        <v>-3240970.4463400897</v>
      </c>
      <c r="BD56" s="220">
        <f t="shared" si="170"/>
        <v>228443.57642409985</v>
      </c>
      <c r="BE56" s="219">
        <f t="shared" si="170"/>
        <v>9359585.1240673698</v>
      </c>
      <c r="BF56" s="219">
        <f t="shared" si="170"/>
        <v>42419136.389918923</v>
      </c>
      <c r="BG56" s="219">
        <f t="shared" si="170"/>
        <v>80454398.432082325</v>
      </c>
    </row>
    <row r="57" spans="2:60" ht="16.5" customHeight="1" thickBot="1" x14ac:dyDescent="0.3">
      <c r="B57" t="s">
        <v>241</v>
      </c>
      <c r="C57" t="s">
        <v>244</v>
      </c>
      <c r="D57" s="3" t="s">
        <v>209</v>
      </c>
      <c r="E57" s="207">
        <f t="shared" ref="E57:AX57" si="171">IF(E56&lt;0, 0, E56*0.22)</f>
        <v>0</v>
      </c>
      <c r="F57" s="174">
        <f t="shared" si="171"/>
        <v>0</v>
      </c>
      <c r="G57" s="174">
        <f t="shared" si="171"/>
        <v>0</v>
      </c>
      <c r="H57" s="174">
        <f t="shared" si="171"/>
        <v>0</v>
      </c>
      <c r="I57" s="174">
        <f t="shared" si="171"/>
        <v>0</v>
      </c>
      <c r="J57" s="174">
        <f t="shared" si="171"/>
        <v>0</v>
      </c>
      <c r="K57" s="174">
        <f t="shared" si="171"/>
        <v>0</v>
      </c>
      <c r="L57" s="174">
        <f t="shared" si="171"/>
        <v>0</v>
      </c>
      <c r="M57" s="174">
        <f t="shared" si="171"/>
        <v>0</v>
      </c>
      <c r="N57" s="174">
        <f t="shared" si="171"/>
        <v>0</v>
      </c>
      <c r="O57" s="174">
        <f t="shared" si="171"/>
        <v>0</v>
      </c>
      <c r="P57" s="174">
        <f t="shared" si="171"/>
        <v>0</v>
      </c>
      <c r="Q57" s="174">
        <f t="shared" si="171"/>
        <v>0</v>
      </c>
      <c r="R57" s="14">
        <f t="shared" si="171"/>
        <v>0</v>
      </c>
      <c r="S57" s="174">
        <f t="shared" si="171"/>
        <v>0</v>
      </c>
      <c r="T57" s="174">
        <f t="shared" si="171"/>
        <v>0</v>
      </c>
      <c r="U57" s="174">
        <f t="shared" si="171"/>
        <v>0</v>
      </c>
      <c r="V57" s="174">
        <f t="shared" si="171"/>
        <v>0</v>
      </c>
      <c r="W57" s="174">
        <f t="shared" si="171"/>
        <v>0</v>
      </c>
      <c r="X57" s="174">
        <f t="shared" si="171"/>
        <v>0</v>
      </c>
      <c r="Y57" s="174">
        <f t="shared" si="171"/>
        <v>0</v>
      </c>
      <c r="Z57" s="174">
        <f t="shared" si="171"/>
        <v>0</v>
      </c>
      <c r="AA57" s="174">
        <f t="shared" si="171"/>
        <v>0</v>
      </c>
      <c r="AB57" s="174">
        <f t="shared" si="171"/>
        <v>0</v>
      </c>
      <c r="AC57" s="174">
        <f t="shared" si="171"/>
        <v>0</v>
      </c>
      <c r="AD57" s="174">
        <f t="shared" si="171"/>
        <v>0</v>
      </c>
      <c r="AE57" s="225">
        <f t="shared" si="171"/>
        <v>0</v>
      </c>
      <c r="AF57" s="174">
        <f t="shared" si="171"/>
        <v>0</v>
      </c>
      <c r="AG57" s="174">
        <f t="shared" si="171"/>
        <v>0</v>
      </c>
      <c r="AH57" s="174">
        <f t="shared" si="171"/>
        <v>0</v>
      </c>
      <c r="AI57" s="174">
        <f t="shared" si="171"/>
        <v>0</v>
      </c>
      <c r="AJ57" s="174">
        <f t="shared" si="171"/>
        <v>0</v>
      </c>
      <c r="AK57" s="174">
        <f t="shared" si="171"/>
        <v>0</v>
      </c>
      <c r="AL57" s="174">
        <f t="shared" si="171"/>
        <v>0</v>
      </c>
      <c r="AM57" s="174">
        <f t="shared" si="171"/>
        <v>0</v>
      </c>
      <c r="AN57" s="174">
        <f t="shared" si="171"/>
        <v>0</v>
      </c>
      <c r="AO57" s="174">
        <f t="shared" si="171"/>
        <v>0</v>
      </c>
      <c r="AP57" s="174">
        <f t="shared" si="171"/>
        <v>0</v>
      </c>
      <c r="AQ57" s="222">
        <f t="shared" si="171"/>
        <v>0</v>
      </c>
      <c r="AR57" s="14">
        <f t="shared" si="171"/>
        <v>0</v>
      </c>
      <c r="AS57" s="174">
        <f t="shared" si="171"/>
        <v>0</v>
      </c>
      <c r="AT57" s="174">
        <f t="shared" si="171"/>
        <v>0</v>
      </c>
      <c r="AU57" s="14">
        <f t="shared" si="171"/>
        <v>0</v>
      </c>
      <c r="AV57" s="174">
        <f t="shared" si="171"/>
        <v>0</v>
      </c>
      <c r="AW57" s="174">
        <f t="shared" si="171"/>
        <v>0</v>
      </c>
      <c r="AX57" s="15">
        <f t="shared" si="171"/>
        <v>0</v>
      </c>
      <c r="AY57" s="174"/>
      <c r="AZ57" s="174"/>
      <c r="BA57" s="14">
        <f>IF(BA56&lt;0, 0, BA56*0.22)</f>
        <v>0</v>
      </c>
      <c r="BB57" s="174"/>
      <c r="BC57" s="174"/>
      <c r="BD57" s="15">
        <f>IF(BD56&lt;0, 0, BD56*0.22)</f>
        <v>50257.586813301969</v>
      </c>
      <c r="BE57" s="14">
        <f>IF(BE56&lt;0, 0, BE56*0.22)</f>
        <v>2059108.7272948213</v>
      </c>
      <c r="BF57" s="14">
        <f>IF(BF56&lt;0, 0, BF56*0.22)</f>
        <v>9332210.0057821628</v>
      </c>
      <c r="BG57" s="14">
        <f>IF(BG56&lt;0, 0, BG56*0.22)</f>
        <v>17699967.655058112</v>
      </c>
      <c r="BH57" t="s">
        <v>210</v>
      </c>
    </row>
    <row r="58" spans="2:60" x14ac:dyDescent="0.25">
      <c r="B58" t="s">
        <v>241</v>
      </c>
      <c r="C58" t="s">
        <v>245</v>
      </c>
      <c r="D58" s="209" t="s">
        <v>211</v>
      </c>
      <c r="E58" s="214">
        <f t="shared" ref="E58:AJ58" si="172">E56-E57</f>
        <v>-620242.23938223941</v>
      </c>
      <c r="F58" s="215">
        <f t="shared" si="172"/>
        <v>-52172.285714285717</v>
      </c>
      <c r="G58" s="215">
        <f t="shared" si="172"/>
        <v>-700</v>
      </c>
      <c r="H58" s="215">
        <f t="shared" si="172"/>
        <v>-12500</v>
      </c>
      <c r="I58" s="215">
        <f t="shared" si="172"/>
        <v>-2000</v>
      </c>
      <c r="J58" s="215">
        <f t="shared" si="172"/>
        <v>-2000</v>
      </c>
      <c r="K58" s="215">
        <f t="shared" si="172"/>
        <v>-15250</v>
      </c>
      <c r="L58" s="215">
        <f t="shared" si="172"/>
        <v>-79296.936936936938</v>
      </c>
      <c r="M58" s="215">
        <f t="shared" si="172"/>
        <v>-59010</v>
      </c>
      <c r="N58" s="215">
        <f t="shared" si="172"/>
        <v>-73966.936936936938</v>
      </c>
      <c r="O58" s="215">
        <f t="shared" si="172"/>
        <v>-90900</v>
      </c>
      <c r="P58" s="215">
        <f t="shared" si="172"/>
        <v>-90412.936936936938</v>
      </c>
      <c r="Q58" s="215">
        <f t="shared" si="172"/>
        <v>-142033.14285714284</v>
      </c>
      <c r="R58" s="214">
        <f t="shared" si="172"/>
        <v>-2682516.7644787645</v>
      </c>
      <c r="S58" s="215">
        <f t="shared" si="172"/>
        <v>-227425.60360360361</v>
      </c>
      <c r="T58" s="215">
        <f t="shared" si="172"/>
        <v>-100588.66666666667</v>
      </c>
      <c r="U58" s="215">
        <f t="shared" si="172"/>
        <v>-106625.60360360361</v>
      </c>
      <c r="V58" s="215">
        <f t="shared" si="172"/>
        <v>-121138.66666666667</v>
      </c>
      <c r="W58" s="215">
        <f t="shared" si="172"/>
        <v>-836675.60360360355</v>
      </c>
      <c r="X58" s="215">
        <f t="shared" si="172"/>
        <v>-167093.23809523811</v>
      </c>
      <c r="Y58" s="215">
        <f t="shared" si="172"/>
        <v>-130893.60360360361</v>
      </c>
      <c r="Z58" s="215">
        <f t="shared" si="172"/>
        <v>-118956.66666666667</v>
      </c>
      <c r="AA58" s="215">
        <f t="shared" si="172"/>
        <v>-149393.60360360361</v>
      </c>
      <c r="AB58" s="215">
        <f t="shared" si="172"/>
        <v>-133286.66666666669</v>
      </c>
      <c r="AC58" s="215">
        <f t="shared" si="172"/>
        <v>-297423.60360360361</v>
      </c>
      <c r="AD58" s="215">
        <f t="shared" si="172"/>
        <v>-293015.23809523811</v>
      </c>
      <c r="AE58" s="229">
        <f t="shared" si="172"/>
        <v>-3360375.1930501931</v>
      </c>
      <c r="AF58" s="215">
        <f t="shared" si="172"/>
        <v>-185149.60360360361</v>
      </c>
      <c r="AG58" s="215">
        <f t="shared" si="172"/>
        <v>-134312.66666666669</v>
      </c>
      <c r="AH58" s="215">
        <f t="shared" si="172"/>
        <v>-134749.60360360361</v>
      </c>
      <c r="AI58" s="215">
        <f t="shared" si="172"/>
        <v>-154862.66666666669</v>
      </c>
      <c r="AJ58" s="215">
        <f t="shared" si="172"/>
        <v>-869799.60360360355</v>
      </c>
      <c r="AK58" s="215">
        <f t="shared" ref="AK58:BG58" si="173">AK56-AK57</f>
        <v>-192791.23809523811</v>
      </c>
      <c r="AL58" s="215">
        <f t="shared" si="173"/>
        <v>-178027.60360360361</v>
      </c>
      <c r="AM58" s="215">
        <f t="shared" si="173"/>
        <v>-158290.66666666669</v>
      </c>
      <c r="AN58" s="215">
        <f t="shared" si="173"/>
        <v>-388727.60360360361</v>
      </c>
      <c r="AO58" s="215">
        <f t="shared" si="173"/>
        <v>-163840.66666666669</v>
      </c>
      <c r="AP58" s="215">
        <f t="shared" si="173"/>
        <v>-158777.60360360361</v>
      </c>
      <c r="AQ58" s="235">
        <f t="shared" si="173"/>
        <v>-641045.66666666674</v>
      </c>
      <c r="AR58" s="214">
        <f t="shared" si="173"/>
        <v>-5330563.3764921166</v>
      </c>
      <c r="AS58" s="215">
        <f t="shared" si="173"/>
        <v>-2184682.7783502252</v>
      </c>
      <c r="AT58" s="215">
        <f t="shared" si="173"/>
        <v>-3145880.5981418919</v>
      </c>
      <c r="AU58" s="214">
        <f t="shared" si="173"/>
        <v>-7400857.6402871627</v>
      </c>
      <c r="AV58" s="215">
        <f t="shared" si="173"/>
        <v>-3263896.2935810811</v>
      </c>
      <c r="AW58" s="215">
        <f t="shared" si="173"/>
        <v>-4136961.3467060812</v>
      </c>
      <c r="AX58" s="232">
        <f t="shared" si="173"/>
        <v>-6224301.624628379</v>
      </c>
      <c r="AY58" s="215">
        <f t="shared" si="173"/>
        <v>-2093274.4079391891</v>
      </c>
      <c r="AZ58" s="215">
        <f t="shared" si="173"/>
        <v>-4131027.216689189</v>
      </c>
      <c r="BA58" s="214">
        <f t="shared" si="173"/>
        <v>-4939979.9669481982</v>
      </c>
      <c r="BB58" s="215">
        <f t="shared" si="173"/>
        <v>-1689154.5206081083</v>
      </c>
      <c r="BC58" s="215">
        <f t="shared" si="173"/>
        <v>-3240970.4463400897</v>
      </c>
      <c r="BD58" s="232">
        <f t="shared" si="173"/>
        <v>178185.9896107979</v>
      </c>
      <c r="BE58" s="214">
        <f t="shared" si="173"/>
        <v>7300476.3967725486</v>
      </c>
      <c r="BF58" s="214">
        <f t="shared" si="173"/>
        <v>33086926.384136759</v>
      </c>
      <c r="BG58" s="214">
        <f t="shared" si="173"/>
        <v>62754430.777024209</v>
      </c>
    </row>
    <row r="59" spans="2:60" ht="16.5" thickBot="1" x14ac:dyDescent="0.3">
      <c r="B59" t="s">
        <v>241</v>
      </c>
      <c r="C59" t="s">
        <v>246</v>
      </c>
      <c r="D59" s="208" t="s">
        <v>212</v>
      </c>
      <c r="E59" s="15">
        <f>SUM(F59:Q59)</f>
        <v>296000</v>
      </c>
      <c r="F59" s="174">
        <f>SUM('R&amp;D budget'!C26:C29)</f>
        <v>0</v>
      </c>
      <c r="G59" s="174">
        <f>SUM('R&amp;D budget'!D26:D29)</f>
        <v>0</v>
      </c>
      <c r="H59" s="174">
        <f>SUM('R&amp;D budget'!E26:E29)</f>
        <v>275000</v>
      </c>
      <c r="I59" s="174">
        <f>SUM('R&amp;D budget'!F26:F29)</f>
        <v>0</v>
      </c>
      <c r="J59" s="174">
        <f>SUM('R&amp;D budget'!G26:G29)</f>
        <v>0</v>
      </c>
      <c r="K59" s="174">
        <f>SUM('R&amp;D budget'!H26:H29)</f>
        <v>0</v>
      </c>
      <c r="L59" s="174">
        <f>SUM('R&amp;D budget'!I26:I29)</f>
        <v>21000</v>
      </c>
      <c r="M59" s="174">
        <f>SUM('R&amp;D budget'!J26:J29)</f>
        <v>0</v>
      </c>
      <c r="N59" s="174">
        <f>SUM('R&amp;D budget'!K26:K29)</f>
        <v>0</v>
      </c>
      <c r="O59" s="174">
        <f>SUM('R&amp;D budget'!L26:L29)</f>
        <v>0</v>
      </c>
      <c r="P59" s="174">
        <f>SUM('R&amp;D budget'!M26:M29)</f>
        <v>0</v>
      </c>
      <c r="Q59" s="174">
        <f>SUM('R&amp;D budget'!N26:N29)</f>
        <v>0</v>
      </c>
      <c r="R59" s="14">
        <f>SUM(S59:AD59)</f>
        <v>231050</v>
      </c>
      <c r="S59" s="174">
        <f>SUM('R&amp;D budget'!O26:O29)</f>
        <v>16050.000000000002</v>
      </c>
      <c r="T59" s="174">
        <f>SUM('R&amp;D budget'!P26:P29)</f>
        <v>0</v>
      </c>
      <c r="U59" s="174">
        <f>SUM('R&amp;D budget'!Q26:Q29)</f>
        <v>0</v>
      </c>
      <c r="V59" s="174">
        <f>SUM('R&amp;D budget'!R26:R29)</f>
        <v>0</v>
      </c>
      <c r="W59" s="174">
        <f>SUM('R&amp;D budget'!S26:S29)</f>
        <v>0</v>
      </c>
      <c r="X59" s="174">
        <f>SUM('R&amp;D budget'!T26:T29)</f>
        <v>215000</v>
      </c>
      <c r="Y59" s="174">
        <f>SUM('R&amp;D budget'!U26:U29)</f>
        <v>0</v>
      </c>
      <c r="Z59" s="174">
        <f>SUM('R&amp;D budget'!V26:V29)</f>
        <v>0</v>
      </c>
      <c r="AA59" s="174">
        <f>SUM('R&amp;D budget'!W26:W29)</f>
        <v>0</v>
      </c>
      <c r="AB59" s="174">
        <f>SUM('R&amp;D budget'!X26:X29)</f>
        <v>0</v>
      </c>
      <c r="AC59" s="174">
        <f>SUM('R&amp;D budget'!Y26:Y29)</f>
        <v>0</v>
      </c>
      <c r="AD59" s="174">
        <f>SUM('R&amp;D budget'!Z26:Z29)</f>
        <v>0</v>
      </c>
      <c r="AE59" s="225">
        <f>SUM(AF59:AQ59)</f>
        <v>16050.000000000002</v>
      </c>
      <c r="AF59" s="174">
        <f>SUM('R&amp;D budget'!AA26:AA29)</f>
        <v>16050.000000000002</v>
      </c>
      <c r="AG59" s="174">
        <f>SUM('R&amp;D budget'!AB26:AB29)</f>
        <v>0</v>
      </c>
      <c r="AH59" s="174">
        <f>SUM('R&amp;D budget'!AC26:AC29)</f>
        <v>0</v>
      </c>
      <c r="AI59" s="174">
        <f>SUM('R&amp;D budget'!AD26:AD29)</f>
        <v>0</v>
      </c>
      <c r="AJ59" s="174">
        <f>SUM('R&amp;D budget'!AE26:AE29)</f>
        <v>0</v>
      </c>
      <c r="AK59" s="174">
        <f>SUM('R&amp;D budget'!AF26:AF29)</f>
        <v>0</v>
      </c>
      <c r="AL59" s="174">
        <f>SUM('R&amp;D budget'!AG26:AG29)</f>
        <v>0</v>
      </c>
      <c r="AM59" s="174">
        <f>SUM('R&amp;D budget'!AH26:AH29)</f>
        <v>0</v>
      </c>
      <c r="AN59" s="174">
        <f>SUM('R&amp;D budget'!AI26:AI29)</f>
        <v>0</v>
      </c>
      <c r="AO59" s="174">
        <f>SUM('R&amp;D budget'!AJ26:AJ29)</f>
        <v>0</v>
      </c>
      <c r="AP59" s="174">
        <f>SUM('R&amp;D budget'!AK26:AK29)</f>
        <v>0</v>
      </c>
      <c r="AQ59" s="222">
        <f>SUM('R&amp;D budget'!AL26:AL29)</f>
        <v>0</v>
      </c>
      <c r="AR59" s="14">
        <f>AS59+AT59</f>
        <v>15000000</v>
      </c>
      <c r="AS59" s="174"/>
      <c r="AT59" s="174">
        <f>15000000</f>
        <v>15000000</v>
      </c>
      <c r="AU59" s="263">
        <f>AV59+AW59</f>
        <v>2000000</v>
      </c>
      <c r="AV59" s="267">
        <v>1000000</v>
      </c>
      <c r="AW59" s="267">
        <v>1000000</v>
      </c>
      <c r="AX59" s="15"/>
      <c r="AY59" s="174"/>
      <c r="AZ59" s="174"/>
      <c r="BA59" s="12">
        <v>500000</v>
      </c>
      <c r="BB59" s="174">
        <v>500000</v>
      </c>
      <c r="BC59" s="174"/>
      <c r="BD59" s="13">
        <v>300000</v>
      </c>
      <c r="BE59" s="12"/>
      <c r="BF59" s="12"/>
      <c r="BG59" s="12"/>
      <c r="BH59" t="s">
        <v>213</v>
      </c>
    </row>
    <row r="60" spans="2:60" s="3" customFormat="1" ht="16.5" thickBot="1" x14ac:dyDescent="0.3">
      <c r="B60" t="s">
        <v>241</v>
      </c>
      <c r="C60" t="s">
        <v>245</v>
      </c>
      <c r="D60" s="209" t="s">
        <v>214</v>
      </c>
      <c r="E60" s="221">
        <f>E58+E51</f>
        <v>-620242.23938223941</v>
      </c>
      <c r="F60" s="221">
        <f t="shared" ref="F60:BG60" si="174">F58+F51</f>
        <v>-52172.285714285717</v>
      </c>
      <c r="G60" s="221">
        <f t="shared" si="174"/>
        <v>-700</v>
      </c>
      <c r="H60" s="221">
        <f t="shared" si="174"/>
        <v>-12500</v>
      </c>
      <c r="I60" s="221">
        <f t="shared" si="174"/>
        <v>-2000</v>
      </c>
      <c r="J60" s="221">
        <f t="shared" si="174"/>
        <v>-2000</v>
      </c>
      <c r="K60" s="221">
        <f t="shared" si="174"/>
        <v>-15250</v>
      </c>
      <c r="L60" s="221">
        <f t="shared" si="174"/>
        <v>-79296.936936936938</v>
      </c>
      <c r="M60" s="221">
        <f t="shared" si="174"/>
        <v>-59010</v>
      </c>
      <c r="N60" s="221">
        <f t="shared" si="174"/>
        <v>-73966.936936936938</v>
      </c>
      <c r="O60" s="221">
        <f t="shared" si="174"/>
        <v>-90900</v>
      </c>
      <c r="P60" s="221">
        <f t="shared" si="174"/>
        <v>-90412.936936936938</v>
      </c>
      <c r="Q60" s="221">
        <f t="shared" si="174"/>
        <v>-142033.14285714284</v>
      </c>
      <c r="R60" s="221">
        <f t="shared" si="174"/>
        <v>-2652916.7644787645</v>
      </c>
      <c r="S60" s="221">
        <f t="shared" si="174"/>
        <v>-227425.60360360361</v>
      </c>
      <c r="T60" s="221">
        <f t="shared" si="174"/>
        <v>-100588.66666666667</v>
      </c>
      <c r="U60" s="221">
        <f t="shared" si="174"/>
        <v>-106625.60360360361</v>
      </c>
      <c r="V60" s="221">
        <f t="shared" si="174"/>
        <v>-121138.66666666667</v>
      </c>
      <c r="W60" s="221">
        <f t="shared" si="174"/>
        <v>-836675.60360360355</v>
      </c>
      <c r="X60" s="221">
        <f t="shared" si="174"/>
        <v>-167093.23809523811</v>
      </c>
      <c r="Y60" s="221">
        <f t="shared" si="174"/>
        <v>-130893.60360360361</v>
      </c>
      <c r="Z60" s="221">
        <f t="shared" si="174"/>
        <v>-118956.66666666667</v>
      </c>
      <c r="AA60" s="221">
        <f t="shared" si="174"/>
        <v>-149393.60360360361</v>
      </c>
      <c r="AB60" s="221">
        <f t="shared" si="174"/>
        <v>-133286.66666666669</v>
      </c>
      <c r="AC60" s="221">
        <f t="shared" si="174"/>
        <v>-297423.60360360361</v>
      </c>
      <c r="AD60" s="221">
        <f t="shared" si="174"/>
        <v>-263415.23809523811</v>
      </c>
      <c r="AE60" s="221">
        <f t="shared" si="174"/>
        <v>-3307670.1930501931</v>
      </c>
      <c r="AF60" s="221">
        <f t="shared" si="174"/>
        <v>-185149.60360360361</v>
      </c>
      <c r="AG60" s="221">
        <f t="shared" si="174"/>
        <v>-134312.66666666669</v>
      </c>
      <c r="AH60" s="221">
        <f t="shared" si="174"/>
        <v>-134749.60360360361</v>
      </c>
      <c r="AI60" s="221">
        <f t="shared" si="174"/>
        <v>-154862.66666666669</v>
      </c>
      <c r="AJ60" s="221">
        <f t="shared" si="174"/>
        <v>-869799.60360360355</v>
      </c>
      <c r="AK60" s="221">
        <f t="shared" si="174"/>
        <v>-192791.23809523811</v>
      </c>
      <c r="AL60" s="221">
        <f t="shared" si="174"/>
        <v>-178027.60360360361</v>
      </c>
      <c r="AM60" s="221">
        <f t="shared" si="174"/>
        <v>-158290.66666666669</v>
      </c>
      <c r="AN60" s="221">
        <f t="shared" si="174"/>
        <v>-388727.60360360361</v>
      </c>
      <c r="AO60" s="221">
        <f t="shared" si="174"/>
        <v>-163840.66666666669</v>
      </c>
      <c r="AP60" s="221">
        <f t="shared" si="174"/>
        <v>-158777.60360360361</v>
      </c>
      <c r="AQ60" s="221">
        <f t="shared" si="174"/>
        <v>-588340.66666666674</v>
      </c>
      <c r="AR60" s="221">
        <f t="shared" si="174"/>
        <v>-5276253.3764921166</v>
      </c>
      <c r="AS60" s="221">
        <f t="shared" si="174"/>
        <v>-2184682.7783502252</v>
      </c>
      <c r="AT60" s="221">
        <f t="shared" si="174"/>
        <v>-3091570.5981418919</v>
      </c>
      <c r="AU60" s="221">
        <f t="shared" si="174"/>
        <v>-6746547.6402871627</v>
      </c>
      <c r="AV60" s="221">
        <f t="shared" si="174"/>
        <v>-3263896.2935810811</v>
      </c>
      <c r="AW60" s="221">
        <f t="shared" si="174"/>
        <v>-3482651.3467060812</v>
      </c>
      <c r="AX60" s="221">
        <f t="shared" si="174"/>
        <v>-5369991.624628379</v>
      </c>
      <c r="AY60" s="221">
        <f t="shared" si="174"/>
        <v>-2093274.4079391891</v>
      </c>
      <c r="AZ60" s="221">
        <f t="shared" si="174"/>
        <v>-3276717.216689189</v>
      </c>
      <c r="BA60" s="221">
        <f t="shared" si="174"/>
        <v>-4085669.9669481982</v>
      </c>
      <c r="BB60" s="221">
        <f t="shared" si="174"/>
        <v>-1689154.5206081083</v>
      </c>
      <c r="BC60" s="221">
        <f t="shared" si="174"/>
        <v>-2386660.4463400897</v>
      </c>
      <c r="BD60" s="221">
        <f t="shared" si="174"/>
        <v>1082495.989610798</v>
      </c>
      <c r="BE60" s="221">
        <f t="shared" si="174"/>
        <v>8234786.3967725486</v>
      </c>
      <c r="BF60" s="221">
        <f t="shared" si="174"/>
        <v>34021236.384136759</v>
      </c>
      <c r="BG60" s="221">
        <f t="shared" si="174"/>
        <v>63688740.777024209</v>
      </c>
    </row>
    <row r="61" spans="2:60" x14ac:dyDescent="0.25">
      <c r="B61" t="s">
        <v>241</v>
      </c>
      <c r="C61" t="s">
        <v>245</v>
      </c>
      <c r="D61" s="216" t="s">
        <v>215</v>
      </c>
      <c r="E61" s="203">
        <f>E58-E59+E51</f>
        <v>-916242.23938223941</v>
      </c>
      <c r="F61" s="203">
        <f t="shared" ref="F61:BG61" si="175">F58-F59+F51</f>
        <v>-52172.285714285717</v>
      </c>
      <c r="G61" s="203">
        <f t="shared" si="175"/>
        <v>-700</v>
      </c>
      <c r="H61" s="203">
        <f t="shared" si="175"/>
        <v>-287500</v>
      </c>
      <c r="I61" s="203">
        <f t="shared" si="175"/>
        <v>-2000</v>
      </c>
      <c r="J61" s="203">
        <f t="shared" si="175"/>
        <v>-2000</v>
      </c>
      <c r="K61" s="203">
        <f t="shared" si="175"/>
        <v>-15250</v>
      </c>
      <c r="L61" s="203">
        <f t="shared" si="175"/>
        <v>-100296.93693693694</v>
      </c>
      <c r="M61" s="203">
        <f t="shared" si="175"/>
        <v>-59010</v>
      </c>
      <c r="N61" s="203">
        <f t="shared" si="175"/>
        <v>-73966.936936936938</v>
      </c>
      <c r="O61" s="203">
        <f t="shared" si="175"/>
        <v>-90900</v>
      </c>
      <c r="P61" s="203">
        <f t="shared" si="175"/>
        <v>-90412.936936936938</v>
      </c>
      <c r="Q61" s="203">
        <f t="shared" si="175"/>
        <v>-142033.14285714284</v>
      </c>
      <c r="R61" s="203">
        <f t="shared" si="175"/>
        <v>-2883966.7644787645</v>
      </c>
      <c r="S61" s="203">
        <f t="shared" si="175"/>
        <v>-243475.60360360361</v>
      </c>
      <c r="T61" s="203">
        <f t="shared" si="175"/>
        <v>-100588.66666666667</v>
      </c>
      <c r="U61" s="203">
        <f t="shared" si="175"/>
        <v>-106625.60360360361</v>
      </c>
      <c r="V61" s="203">
        <f t="shared" si="175"/>
        <v>-121138.66666666667</v>
      </c>
      <c r="W61" s="203">
        <f t="shared" si="175"/>
        <v>-836675.60360360355</v>
      </c>
      <c r="X61" s="203">
        <f t="shared" si="175"/>
        <v>-382093.23809523811</v>
      </c>
      <c r="Y61" s="203">
        <f t="shared" si="175"/>
        <v>-130893.60360360361</v>
      </c>
      <c r="Z61" s="203">
        <f t="shared" si="175"/>
        <v>-118956.66666666667</v>
      </c>
      <c r="AA61" s="203">
        <f t="shared" si="175"/>
        <v>-149393.60360360361</v>
      </c>
      <c r="AB61" s="203">
        <f t="shared" si="175"/>
        <v>-133286.66666666669</v>
      </c>
      <c r="AC61" s="203">
        <f t="shared" si="175"/>
        <v>-297423.60360360361</v>
      </c>
      <c r="AD61" s="203">
        <f t="shared" si="175"/>
        <v>-263415.23809523811</v>
      </c>
      <c r="AE61" s="203">
        <f t="shared" si="175"/>
        <v>-3323720.1930501931</v>
      </c>
      <c r="AF61" s="203">
        <f t="shared" si="175"/>
        <v>-201199.60360360361</v>
      </c>
      <c r="AG61" s="203">
        <f t="shared" si="175"/>
        <v>-134312.66666666669</v>
      </c>
      <c r="AH61" s="203">
        <f t="shared" si="175"/>
        <v>-134749.60360360361</v>
      </c>
      <c r="AI61" s="203">
        <f t="shared" si="175"/>
        <v>-154862.66666666669</v>
      </c>
      <c r="AJ61" s="203">
        <f t="shared" si="175"/>
        <v>-869799.60360360355</v>
      </c>
      <c r="AK61" s="203">
        <f t="shared" si="175"/>
        <v>-192791.23809523811</v>
      </c>
      <c r="AL61" s="203">
        <f t="shared" si="175"/>
        <v>-178027.60360360361</v>
      </c>
      <c r="AM61" s="203">
        <f t="shared" si="175"/>
        <v>-158290.66666666669</v>
      </c>
      <c r="AN61" s="203">
        <f t="shared" si="175"/>
        <v>-388727.60360360361</v>
      </c>
      <c r="AO61" s="203">
        <f t="shared" si="175"/>
        <v>-163840.66666666669</v>
      </c>
      <c r="AP61" s="203">
        <f t="shared" si="175"/>
        <v>-158777.60360360361</v>
      </c>
      <c r="AQ61" s="203">
        <f t="shared" si="175"/>
        <v>-588340.66666666674</v>
      </c>
      <c r="AR61" s="203">
        <f t="shared" si="175"/>
        <v>-20276253.376492117</v>
      </c>
      <c r="AS61" s="203">
        <f t="shared" si="175"/>
        <v>-2184682.7783502252</v>
      </c>
      <c r="AT61" s="203">
        <f t="shared" si="175"/>
        <v>-18091570.598141894</v>
      </c>
      <c r="AU61" s="203">
        <f t="shared" si="175"/>
        <v>-8746547.6402871627</v>
      </c>
      <c r="AV61" s="203">
        <f t="shared" si="175"/>
        <v>-4263896.2935810816</v>
      </c>
      <c r="AW61" s="203">
        <f t="shared" si="175"/>
        <v>-4482651.3467060812</v>
      </c>
      <c r="AX61" s="203">
        <f t="shared" si="175"/>
        <v>-5369991.624628379</v>
      </c>
      <c r="AY61" s="203">
        <f t="shared" si="175"/>
        <v>-2093274.4079391891</v>
      </c>
      <c r="AZ61" s="203">
        <f t="shared" si="175"/>
        <v>-3276717.216689189</v>
      </c>
      <c r="BA61" s="203">
        <f t="shared" si="175"/>
        <v>-4585669.9669481982</v>
      </c>
      <c r="BB61" s="203">
        <f t="shared" si="175"/>
        <v>-2189154.5206081085</v>
      </c>
      <c r="BC61" s="203">
        <f t="shared" si="175"/>
        <v>-2386660.4463400897</v>
      </c>
      <c r="BD61" s="203">
        <f t="shared" si="175"/>
        <v>782495.98961079796</v>
      </c>
      <c r="BE61" s="203">
        <f t="shared" si="175"/>
        <v>8234786.3967725486</v>
      </c>
      <c r="BF61" s="203">
        <f t="shared" si="175"/>
        <v>34021236.384136759</v>
      </c>
      <c r="BG61" s="203">
        <f t="shared" si="175"/>
        <v>63688740.777024209</v>
      </c>
    </row>
    <row r="62" spans="2:60" x14ac:dyDescent="0.25">
      <c r="B62" t="s">
        <v>241</v>
      </c>
      <c r="C62" t="s">
        <v>244</v>
      </c>
      <c r="D62" t="s">
        <v>216</v>
      </c>
      <c r="E62" s="240">
        <f>SUM(F62:Q62)</f>
        <v>846862.41758241761</v>
      </c>
      <c r="F62" s="241">
        <f>'R&amp;D budget'!C66</f>
        <v>250000</v>
      </c>
      <c r="G62" s="241">
        <f>'R&amp;D budget'!D66</f>
        <v>0</v>
      </c>
      <c r="H62" s="241">
        <f>'R&amp;D budget'!E66</f>
        <v>14640</v>
      </c>
      <c r="I62" s="241">
        <f>'R&amp;D budget'!F66</f>
        <v>250000</v>
      </c>
      <c r="J62" s="241">
        <f>'R&amp;D budget'!G66</f>
        <v>0</v>
      </c>
      <c r="K62" s="241">
        <f>'R&amp;D budget'!H66</f>
        <v>0</v>
      </c>
      <c r="L62" s="241">
        <f>'R&amp;D budget'!I66</f>
        <v>0</v>
      </c>
      <c r="M62" s="241">
        <f>'R&amp;D budget'!J66</f>
        <v>0</v>
      </c>
      <c r="N62" s="241">
        <f>'R&amp;D budget'!K66</f>
        <v>0</v>
      </c>
      <c r="O62" s="241">
        <f>'R&amp;D budget'!L66</f>
        <v>0</v>
      </c>
      <c r="P62" s="242">
        <f>'R&amp;D budget'!M66</f>
        <v>14640</v>
      </c>
      <c r="Q62" s="242">
        <f>'R&amp;D budget'!N66</f>
        <v>317582.41758241755</v>
      </c>
      <c r="R62" s="243">
        <f>SUM(S62:AD62)</f>
        <v>1206305.75</v>
      </c>
      <c r="S62" s="242">
        <f>'R&amp;D budget'!O66</f>
        <v>542090</v>
      </c>
      <c r="T62" s="241">
        <f>'R&amp;D budget'!P66</f>
        <v>0</v>
      </c>
      <c r="U62" s="241">
        <f>'R&amp;D budget'!Q66</f>
        <v>0</v>
      </c>
      <c r="V62" s="241">
        <f>'R&amp;D budget'!R66</f>
        <v>0</v>
      </c>
      <c r="W62" s="241">
        <f>'R&amp;D budget'!S66</f>
        <v>0</v>
      </c>
      <c r="X62" s="241">
        <f>'R&amp;D budget'!T66</f>
        <v>0</v>
      </c>
      <c r="Y62" s="241">
        <f>'R&amp;D budget'!U66</f>
        <v>0</v>
      </c>
      <c r="Z62" s="242">
        <f>'R&amp;D budget'!V66</f>
        <v>664215.75</v>
      </c>
      <c r="AA62" s="244">
        <f>'R&amp;D budget'!W66</f>
        <v>0</v>
      </c>
      <c r="AB62" s="244">
        <f>'R&amp;D budget'!X66</f>
        <v>0</v>
      </c>
      <c r="AC62" s="244">
        <f>'R&amp;D budget'!Y66</f>
        <v>0</v>
      </c>
      <c r="AD62" s="244">
        <f>'R&amp;D budget'!Z66</f>
        <v>0</v>
      </c>
      <c r="AE62" s="245">
        <f>SUM(AF62:AQ62)</f>
        <v>2952070</v>
      </c>
      <c r="AF62" s="246">
        <f>'R&amp;D budget'!AA66</f>
        <v>0</v>
      </c>
      <c r="AG62" s="246">
        <f>'R&amp;D budget'!AB66</f>
        <v>0</v>
      </c>
      <c r="AH62" s="246">
        <f>'R&amp;D budget'!AC66</f>
        <v>0</v>
      </c>
      <c r="AI62" s="246">
        <f>'R&amp;D budget'!AD66</f>
        <v>0</v>
      </c>
      <c r="AJ62" s="246">
        <f>'R&amp;D budget'!AE66</f>
        <v>0</v>
      </c>
      <c r="AK62" s="246">
        <f>'R&amp;D budget'!AF66</f>
        <v>0</v>
      </c>
      <c r="AL62" s="246">
        <f>'R&amp;D budget'!AG66</f>
        <v>0</v>
      </c>
      <c r="AM62" s="247">
        <f>'R&amp;D budget'!AH66</f>
        <v>2952070</v>
      </c>
      <c r="AN62" s="246">
        <f>'R&amp;D budget'!AI66</f>
        <v>0</v>
      </c>
      <c r="AO62" s="246">
        <f>'R&amp;D budget'!AJ66</f>
        <v>0</v>
      </c>
      <c r="AP62" s="246">
        <f>'R&amp;D budget'!AK66</f>
        <v>0</v>
      </c>
      <c r="AQ62" s="246">
        <f>'R&amp;D budget'!AL66</f>
        <v>0</v>
      </c>
      <c r="AR62" s="248"/>
      <c r="AS62" s="246"/>
      <c r="AT62" s="246"/>
      <c r="AU62" s="248"/>
      <c r="AV62" s="246"/>
      <c r="AW62" s="246"/>
      <c r="AX62" s="248"/>
      <c r="AY62" s="246"/>
      <c r="AZ62" s="246"/>
      <c r="BA62" s="248"/>
      <c r="BB62" s="246"/>
      <c r="BC62" s="246"/>
      <c r="BD62" s="248"/>
      <c r="BE62" s="248"/>
      <c r="BF62" s="248"/>
      <c r="BG62" s="248"/>
    </row>
    <row r="63" spans="2:60" x14ac:dyDescent="0.25">
      <c r="B63" t="s">
        <v>241</v>
      </c>
      <c r="C63" t="s">
        <v>244</v>
      </c>
      <c r="D63" t="s">
        <v>217</v>
      </c>
      <c r="E63" s="240">
        <f>SUM(F63:Q63)</f>
        <v>3899725.2747252746</v>
      </c>
      <c r="F63" s="241">
        <f>'R&amp;D budget'!C65</f>
        <v>825000</v>
      </c>
      <c r="G63" s="241">
        <f>'R&amp;D budget'!D65</f>
        <v>0</v>
      </c>
      <c r="H63" s="241">
        <f>'R&amp;D budget'!E65</f>
        <v>0</v>
      </c>
      <c r="I63" s="241">
        <f>'R&amp;D budget'!F65</f>
        <v>0</v>
      </c>
      <c r="J63" s="241">
        <f>'R&amp;D budget'!G65</f>
        <v>0</v>
      </c>
      <c r="K63" s="241">
        <f>'R&amp;D budget'!H65</f>
        <v>0</v>
      </c>
      <c r="L63" s="241">
        <f>'R&amp;D budget'!I65</f>
        <v>0</v>
      </c>
      <c r="M63" s="241">
        <f>'R&amp;D budget'!J65</f>
        <v>0</v>
      </c>
      <c r="N63" s="242">
        <f>'R&amp;D budget'!K65</f>
        <v>3074725.2747252746</v>
      </c>
      <c r="O63" s="241">
        <f>'R&amp;D budget'!L65</f>
        <v>0</v>
      </c>
      <c r="P63" s="241">
        <f>'R&amp;D budget'!M65</f>
        <v>0</v>
      </c>
      <c r="Q63" s="241">
        <f>'R&amp;D budget'!N65</f>
        <v>0</v>
      </c>
      <c r="R63" s="249">
        <f t="shared" ref="R63" si="176">SUM(S63:AD63)</f>
        <v>0</v>
      </c>
      <c r="S63" s="241">
        <f>'R&amp;D budget'!O65</f>
        <v>0</v>
      </c>
      <c r="T63" s="241">
        <f>'R&amp;D budget'!P65</f>
        <v>0</v>
      </c>
      <c r="U63" s="241">
        <f>'R&amp;D budget'!Q65</f>
        <v>0</v>
      </c>
      <c r="V63" s="241">
        <f>'R&amp;D budget'!R65</f>
        <v>0</v>
      </c>
      <c r="W63" s="241">
        <f>'R&amp;D budget'!S65</f>
        <v>0</v>
      </c>
      <c r="X63" s="241">
        <f>'R&amp;D budget'!T65</f>
        <v>0</v>
      </c>
      <c r="Y63" s="241">
        <f>'R&amp;D budget'!U65</f>
        <v>0</v>
      </c>
      <c r="Z63" s="244">
        <f>'R&amp;D budget'!V65</f>
        <v>0</v>
      </c>
      <c r="AA63" s="244">
        <f>'R&amp;D budget'!W65</f>
        <v>0</v>
      </c>
      <c r="AB63" s="244">
        <f>'R&amp;D budget'!X65</f>
        <v>0</v>
      </c>
      <c r="AC63" s="244">
        <f>'R&amp;D budget'!Y65</f>
        <v>0</v>
      </c>
      <c r="AD63" s="244">
        <f>'R&amp;D budget'!Z65</f>
        <v>0</v>
      </c>
      <c r="AE63" s="245">
        <f>SUM(AF63:AQ63)</f>
        <v>10000000</v>
      </c>
      <c r="AF63" s="250">
        <f>'R&amp;D budget'!AA65</f>
        <v>0</v>
      </c>
      <c r="AG63" s="250">
        <f>'R&amp;D budget'!AB65</f>
        <v>0</v>
      </c>
      <c r="AH63" s="250">
        <f>'R&amp;D budget'!AC65</f>
        <v>0</v>
      </c>
      <c r="AI63" s="250">
        <f>'R&amp;D budget'!AD65</f>
        <v>0</v>
      </c>
      <c r="AJ63" s="250">
        <f>'R&amp;D budget'!AE65</f>
        <v>0</v>
      </c>
      <c r="AK63" s="251">
        <f>'R&amp;D budget'!AF65</f>
        <v>10000000</v>
      </c>
      <c r="AL63" s="252">
        <f>'R&amp;D budget'!AG65</f>
        <v>0</v>
      </c>
      <c r="AM63" s="252">
        <f>'R&amp;D budget'!AH65</f>
        <v>0</v>
      </c>
      <c r="AN63" s="252">
        <f>'R&amp;D budget'!AI65</f>
        <v>0</v>
      </c>
      <c r="AO63" s="252">
        <f>'R&amp;D budget'!AJ65</f>
        <v>0</v>
      </c>
      <c r="AP63" s="252">
        <f>'R&amp;D budget'!AK65</f>
        <v>0</v>
      </c>
      <c r="AQ63" s="252">
        <f>'R&amp;D budget'!AL65</f>
        <v>0</v>
      </c>
      <c r="AR63" s="253"/>
      <c r="AS63" s="254"/>
      <c r="AT63" s="255"/>
      <c r="AU63" s="256">
        <f>AV63+AW63</f>
        <v>20000000</v>
      </c>
      <c r="AV63" s="251">
        <v>20000000</v>
      </c>
      <c r="AW63" s="255"/>
      <c r="AX63" s="257"/>
      <c r="AY63" s="255"/>
      <c r="AZ63" s="255"/>
      <c r="BA63" s="257"/>
      <c r="BB63" s="255"/>
      <c r="BC63" s="255"/>
      <c r="BD63" s="257"/>
      <c r="BE63" s="257"/>
      <c r="BF63" s="257"/>
      <c r="BG63" s="257"/>
    </row>
    <row r="64" spans="2:60" x14ac:dyDescent="0.25">
      <c r="B64" t="s">
        <v>241</v>
      </c>
      <c r="C64" t="s">
        <v>244</v>
      </c>
      <c r="D64" t="s">
        <v>218</v>
      </c>
      <c r="E64" s="240"/>
      <c r="F64" s="241"/>
      <c r="G64" s="241"/>
      <c r="H64" s="241"/>
      <c r="I64" s="241"/>
      <c r="J64" s="241"/>
      <c r="K64" s="241"/>
      <c r="L64" s="241"/>
      <c r="M64" s="241"/>
      <c r="N64" s="242"/>
      <c r="O64" s="241"/>
      <c r="P64" s="241"/>
      <c r="Q64" s="241"/>
      <c r="R64" s="248"/>
      <c r="S64" s="246"/>
      <c r="T64" s="246"/>
      <c r="U64" s="246"/>
      <c r="V64" s="246"/>
      <c r="W64" s="246"/>
      <c r="X64" s="246"/>
      <c r="Y64" s="246"/>
      <c r="Z64" s="258"/>
      <c r="AA64" s="258"/>
      <c r="AB64" s="258"/>
      <c r="AC64" s="258"/>
      <c r="AD64" s="258"/>
      <c r="AE64" s="248"/>
      <c r="AF64" s="250"/>
      <c r="AG64" s="250"/>
      <c r="AH64" s="250"/>
      <c r="AI64" s="250"/>
      <c r="AJ64" s="250"/>
      <c r="AK64" s="251"/>
      <c r="AL64" s="252"/>
      <c r="AM64" s="252"/>
      <c r="AN64" s="252"/>
      <c r="AO64" s="252"/>
      <c r="AP64" s="252"/>
      <c r="AQ64" s="252"/>
      <c r="AR64" s="259"/>
      <c r="AS64" s="198"/>
      <c r="AT64" s="198"/>
      <c r="AU64" s="260"/>
      <c r="AV64" s="251"/>
      <c r="AW64" s="255"/>
      <c r="AX64" s="14">
        <f>'Bank loan'!Q10</f>
        <v>453638.80786036979</v>
      </c>
      <c r="AY64" s="174"/>
      <c r="AZ64" s="174">
        <f>AX64</f>
        <v>453638.80786036979</v>
      </c>
      <c r="BA64" s="14">
        <f>'Bank loan'!R10</f>
        <v>476320.74825338833</v>
      </c>
      <c r="BB64" s="174"/>
      <c r="BC64" s="174">
        <f>BA64</f>
        <v>476320.74825338833</v>
      </c>
      <c r="BD64" s="14">
        <f>'Bank loan'!S10</f>
        <v>500136.78566605772</v>
      </c>
      <c r="BE64" s="14">
        <f>'Bank loan'!T10</f>
        <v>525143.62494936062</v>
      </c>
      <c r="BF64" s="14">
        <f>'Bank loan'!U10</f>
        <v>551400.80619682861</v>
      </c>
      <c r="BG64" s="14">
        <f>'Bank loan'!V10</f>
        <v>578970.84650667012</v>
      </c>
    </row>
    <row r="65" spans="2:59" x14ac:dyDescent="0.25">
      <c r="B65" t="s">
        <v>241</v>
      </c>
      <c r="C65" t="s">
        <v>244</v>
      </c>
      <c r="D65" t="s">
        <v>219</v>
      </c>
      <c r="E65" s="240"/>
      <c r="F65" s="255"/>
      <c r="G65" s="255"/>
      <c r="H65" s="255"/>
      <c r="I65" s="255"/>
      <c r="J65" s="255"/>
      <c r="K65" s="255"/>
      <c r="L65" s="255"/>
      <c r="M65" s="255"/>
      <c r="N65" s="255"/>
      <c r="O65" s="255"/>
      <c r="P65" s="255"/>
      <c r="Q65" s="255"/>
      <c r="R65" s="248"/>
      <c r="S65" s="255"/>
      <c r="T65" s="255"/>
      <c r="U65" s="255"/>
      <c r="V65" s="255"/>
      <c r="W65" s="255"/>
      <c r="X65" s="255"/>
      <c r="Y65" s="255"/>
      <c r="Z65" s="255"/>
      <c r="AA65" s="255"/>
      <c r="AB65" s="255"/>
      <c r="AC65" s="255"/>
      <c r="AD65" s="255"/>
      <c r="AE65" s="248"/>
      <c r="AF65" s="255"/>
      <c r="AG65" s="255"/>
      <c r="AH65" s="255"/>
      <c r="AI65" s="255"/>
      <c r="AJ65" s="255"/>
      <c r="AK65" s="254"/>
      <c r="AL65" s="198"/>
      <c r="AM65" s="198"/>
      <c r="AN65" s="198"/>
      <c r="AO65" s="198"/>
      <c r="AP65" s="198"/>
      <c r="AQ65" s="198"/>
      <c r="AR65" s="256">
        <f>AS65+AT65</f>
        <v>15000000</v>
      </c>
      <c r="AS65" s="251">
        <v>15000000</v>
      </c>
      <c r="AT65" s="255"/>
      <c r="AU65" s="261"/>
      <c r="AV65" s="262"/>
      <c r="AW65" s="255"/>
      <c r="AX65" s="257"/>
      <c r="AY65" s="255"/>
      <c r="AZ65" s="255"/>
      <c r="BA65" s="257"/>
      <c r="BB65" s="255"/>
      <c r="BC65" s="255"/>
      <c r="BD65" s="257"/>
      <c r="BE65" s="257"/>
      <c r="BF65" s="257"/>
      <c r="BG65" s="257"/>
    </row>
    <row r="66" spans="2:59" s="3" customFormat="1" x14ac:dyDescent="0.25">
      <c r="B66" t="s">
        <v>241</v>
      </c>
      <c r="C66" t="s">
        <v>245</v>
      </c>
      <c r="D66" s="3" t="s">
        <v>220</v>
      </c>
      <c r="E66" s="248">
        <f>E61+E63+E65+E62+E64</f>
        <v>3830345.452925453</v>
      </c>
      <c r="F66" s="246">
        <f>F61+F62+F63+F65+F64</f>
        <v>1022827.7142857143</v>
      </c>
      <c r="G66" s="246">
        <f t="shared" ref="G66:Q66" si="177">F66+G61+G62+G63+G65+G64</f>
        <v>1022127.7142857143</v>
      </c>
      <c r="H66" s="246">
        <f t="shared" si="177"/>
        <v>749267.71428571432</v>
      </c>
      <c r="I66" s="246">
        <f t="shared" si="177"/>
        <v>997267.71428571432</v>
      </c>
      <c r="J66" s="246">
        <f t="shared" si="177"/>
        <v>995267.71428571432</v>
      </c>
      <c r="K66" s="246">
        <f t="shared" si="177"/>
        <v>980017.71428571432</v>
      </c>
      <c r="L66" s="246">
        <f t="shared" si="177"/>
        <v>879720.7773487774</v>
      </c>
      <c r="M66" s="246">
        <f t="shared" si="177"/>
        <v>820710.7773487774</v>
      </c>
      <c r="N66" s="246">
        <f t="shared" si="177"/>
        <v>3821469.1151371151</v>
      </c>
      <c r="O66" s="246">
        <f t="shared" si="177"/>
        <v>3730569.1151371151</v>
      </c>
      <c r="P66" s="246">
        <f t="shared" si="177"/>
        <v>3654796.1782001783</v>
      </c>
      <c r="Q66" s="246">
        <f t="shared" si="177"/>
        <v>3830345.452925453</v>
      </c>
      <c r="R66" s="248">
        <f>E66+R61+R63+R65+R62+R64</f>
        <v>2152684.4384466885</v>
      </c>
      <c r="S66" s="246">
        <f>Q66+S61+S63+S65+S62+S64</f>
        <v>4128959.8493218492</v>
      </c>
      <c r="T66" s="246">
        <f t="shared" ref="T66:AD66" si="178">S66+T61+T63+T65+T62+T64</f>
        <v>4028371.1826551827</v>
      </c>
      <c r="U66" s="246">
        <f t="shared" si="178"/>
        <v>3921745.5790515789</v>
      </c>
      <c r="V66" s="246">
        <f t="shared" si="178"/>
        <v>3800606.9123849124</v>
      </c>
      <c r="W66" s="246">
        <f t="shared" si="178"/>
        <v>2963931.3087813091</v>
      </c>
      <c r="X66" s="246">
        <f t="shared" si="178"/>
        <v>2581838.0706860712</v>
      </c>
      <c r="Y66" s="246">
        <f t="shared" si="178"/>
        <v>2450944.4670824674</v>
      </c>
      <c r="Z66" s="246">
        <f t="shared" si="178"/>
        <v>2996203.5504158009</v>
      </c>
      <c r="AA66" s="246">
        <f t="shared" si="178"/>
        <v>2846809.9468121971</v>
      </c>
      <c r="AB66" s="246">
        <f t="shared" si="178"/>
        <v>2713523.2801455306</v>
      </c>
      <c r="AC66" s="246">
        <f t="shared" si="178"/>
        <v>2416099.6765419268</v>
      </c>
      <c r="AD66" s="246">
        <f t="shared" si="178"/>
        <v>2152684.4384466885</v>
      </c>
      <c r="AE66" s="248">
        <f>R66+AE61+AE63+AE65+AE62+AE64</f>
        <v>11781034.245396495</v>
      </c>
      <c r="AF66" s="246">
        <f>AD66+AF61+AF62+AF63+AF65+AF64</f>
        <v>1951484.8348430849</v>
      </c>
      <c r="AG66" s="246">
        <f t="shared" ref="AG66:AQ66" si="179">AF66+AG61+AG62+AG63+AG65+AG64</f>
        <v>1817172.1681764182</v>
      </c>
      <c r="AH66" s="246">
        <f t="shared" si="179"/>
        <v>1682422.5645728146</v>
      </c>
      <c r="AI66" s="246">
        <f t="shared" si="179"/>
        <v>1527559.8979061479</v>
      </c>
      <c r="AJ66" s="246">
        <f t="shared" si="179"/>
        <v>657760.29430254432</v>
      </c>
      <c r="AK66" s="246">
        <f t="shared" si="179"/>
        <v>10464969.056207307</v>
      </c>
      <c r="AL66" s="246">
        <f t="shared" si="179"/>
        <v>10286941.452603703</v>
      </c>
      <c r="AM66" s="246">
        <f t="shared" si="179"/>
        <v>13080720.785937037</v>
      </c>
      <c r="AN66" s="246">
        <f t="shared" si="179"/>
        <v>12691993.182333434</v>
      </c>
      <c r="AO66" s="246">
        <f t="shared" si="179"/>
        <v>12528152.515666768</v>
      </c>
      <c r="AP66" s="246">
        <f t="shared" si="179"/>
        <v>12369374.912063165</v>
      </c>
      <c r="AQ66" s="246">
        <f t="shared" si="179"/>
        <v>11781034.245396499</v>
      </c>
      <c r="AR66" s="248">
        <f>AE66+AR61+AR63+AR65+AR62+AR64</f>
        <v>6504780.8689043783</v>
      </c>
      <c r="AS66" s="246">
        <f>AS61+AS63+AS65+AS62+AQ66+AS64</f>
        <v>24596351.467046276</v>
      </c>
      <c r="AT66" s="246">
        <f>AT61+AT64+AT65+AT62+AS66+AT63</f>
        <v>6504780.868904382</v>
      </c>
      <c r="AU66" s="248">
        <f>AR66+AU61+AU63+AU65+AU62+AU64</f>
        <v>17758233.228617214</v>
      </c>
      <c r="AV66" s="246">
        <f>AT66+AV61+AV63+AV65+AV62+AV64</f>
        <v>22240884.575323299</v>
      </c>
      <c r="AW66" s="246">
        <f>AV66+AW61+AW63+AW65+AW62+AW64</f>
        <v>17758233.228617217</v>
      </c>
      <c r="AX66" s="248">
        <f>AU66+AX61+AX63+AX65+AX62+AX64</f>
        <v>12841880.411849204</v>
      </c>
      <c r="AY66" s="246">
        <f>AY61+AY62+AY63+AY65+AW66+AY64</f>
        <v>15664958.820678029</v>
      </c>
      <c r="AZ66" s="246">
        <f>AZ61+AZ62+AZ63+AZ65+AY66+AZ64</f>
        <v>12841880.411849212</v>
      </c>
      <c r="BA66" s="248">
        <f>AX66+BA61+BA63+BA65+BA62+BA64</f>
        <v>8732531.1931543946</v>
      </c>
      <c r="BB66" s="246">
        <f>BB61+BB62+BB63+BB65+AZ66+BB64</f>
        <v>10652725.891241103</v>
      </c>
      <c r="BC66" s="246">
        <f>BC61+BC62+BC63+BC65+BB66+BC64</f>
        <v>8742386.1931544021</v>
      </c>
      <c r="BD66" s="248">
        <f>BA66+BD61+BD63+BD65+BD62+BD64</f>
        <v>10015163.968431251</v>
      </c>
      <c r="BE66" s="248">
        <f>BD66+BE61+BE63+BE65+BE62+BE64</f>
        <v>18775093.99015316</v>
      </c>
      <c r="BF66" s="248">
        <f>BE66+BF61+BF63+BF65+BF62+BF64</f>
        <v>53347731.180486746</v>
      </c>
      <c r="BG66" s="248">
        <f>BF66+BG61+BG63+BG65+BG62+BG64</f>
        <v>117615442.80401762</v>
      </c>
    </row>
    <row r="67" spans="2:59" x14ac:dyDescent="0.25">
      <c r="R67" s="202"/>
    </row>
    <row r="68" spans="2:59" x14ac:dyDescent="0.25">
      <c r="R68" s="202"/>
    </row>
  </sheetData>
  <autoFilter ref="B2:BH66" xr:uid="{2746AA53-935A-4647-B6E4-F2B5E885C0C1}"/>
  <conditionalFormatting sqref="B1 B3:B1048576">
    <cfRule type="cellIs" dxfId="5" priority="3" operator="equal">
      <formula>$B$14</formula>
    </cfRule>
    <cfRule type="cellIs" dxfId="4" priority="4" operator="equal">
      <formula>$B$11</formula>
    </cfRule>
    <cfRule type="cellIs" dxfId="3" priority="5" operator="equal">
      <formula>$B$8</formula>
    </cfRule>
    <cfRule type="cellIs" dxfId="2" priority="6" operator="equal">
      <formula>$B$4</formula>
    </cfRule>
  </conditionalFormatting>
  <conditionalFormatting sqref="C1 C3:C1048576">
    <cfRule type="cellIs" dxfId="1" priority="1" operator="equal">
      <formula>"Profit result"</formula>
    </cfRule>
    <cfRule type="cellIs" dxfId="0" priority="2" operator="equal">
      <formula>"Parameters"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26f25be-ee69-4683-befa-dcfb6948eee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C714B643F29E49B6662B00A53D6827" ma:contentTypeVersion="15" ma:contentTypeDescription="Create a new document." ma:contentTypeScope="" ma:versionID="59e0ba591318eaede81abbd04c7d0ac0">
  <xsd:schema xmlns:xsd="http://www.w3.org/2001/XMLSchema" xmlns:xs="http://www.w3.org/2001/XMLSchema" xmlns:p="http://schemas.microsoft.com/office/2006/metadata/properties" xmlns:ns3="226f25be-ee69-4683-befa-dcfb6948eeed" xmlns:ns4="bda657eb-ca84-419a-9e59-a8ed575ab367" targetNamespace="http://schemas.microsoft.com/office/2006/metadata/properties" ma:root="true" ma:fieldsID="81cb8d77f6031ffb8a549e4350200ae2" ns3:_="" ns4:_="">
    <xsd:import namespace="226f25be-ee69-4683-befa-dcfb6948eeed"/>
    <xsd:import namespace="bda657eb-ca84-419a-9e59-a8ed575ab3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6f25be-ee69-4683-befa-dcfb6948ee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a657eb-ca84-419a-9e59-a8ed575ab367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A3D64B-7B15-4073-9184-4807D5E541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51C61A-1F67-462D-A470-BBB75B769CB8}">
  <ds:schemaRefs>
    <ds:schemaRef ds:uri="http://schemas.microsoft.com/office/2006/metadata/properties"/>
    <ds:schemaRef ds:uri="http://www.w3.org/XML/1998/namespace"/>
    <ds:schemaRef ds:uri="bda657eb-ca84-419a-9e59-a8ed575ab367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226f25be-ee69-4683-befa-dcfb6948eee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6D2CD5-7EF8-4068-9A56-D768D0AF2F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6f25be-ee69-4683-befa-dcfb6948eeed"/>
    <ds:schemaRef ds:uri="bda657eb-ca84-419a-9e59-a8ed575ab3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Cockpit</vt:lpstr>
      <vt:lpstr>Resulting Overall Profits</vt:lpstr>
      <vt:lpstr>Graphs</vt:lpstr>
      <vt:lpstr>Stable Parameter Values --&gt;</vt:lpstr>
      <vt:lpstr>TEA values</vt:lpstr>
      <vt:lpstr>R&amp;D budget</vt:lpstr>
      <vt:lpstr>Bank loan</vt:lpstr>
      <vt:lpstr>Old Versions --&gt;</vt:lpstr>
      <vt:lpstr>Graphs for slides</vt:lpstr>
      <vt:lpstr>Backup</vt:lpstr>
      <vt:lpstr>Reference Case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Tomás Cortés Martínez</dc:creator>
  <cp:keywords/>
  <dc:description/>
  <cp:lastModifiedBy>Tomás Cortés Martínez</cp:lastModifiedBy>
  <cp:revision/>
  <dcterms:created xsi:type="dcterms:W3CDTF">2023-11-30T19:59:27Z</dcterms:created>
  <dcterms:modified xsi:type="dcterms:W3CDTF">2024-10-28T13:10:27Z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414f515-c669-4812-852c-72268fedfb9f_Enabled">
    <vt:lpwstr>true</vt:lpwstr>
  </property>
  <property fmtid="{D5CDD505-2E9C-101B-9397-08002B2CF9AE}" pid="3" name="MSIP_Label_0414f515-c669-4812-852c-72268fedfb9f_SetDate">
    <vt:lpwstr>2024-04-18T13:46:10Z</vt:lpwstr>
  </property>
  <property fmtid="{D5CDD505-2E9C-101B-9397-08002B2CF9AE}" pid="4" name="MSIP_Label_0414f515-c669-4812-852c-72268fedfb9f_Method">
    <vt:lpwstr>Standard</vt:lpwstr>
  </property>
  <property fmtid="{D5CDD505-2E9C-101B-9397-08002B2CF9AE}" pid="5" name="MSIP_Label_0414f515-c669-4812-852c-72268fedfb9f_Name">
    <vt:lpwstr>General</vt:lpwstr>
  </property>
  <property fmtid="{D5CDD505-2E9C-101B-9397-08002B2CF9AE}" pid="6" name="MSIP_Label_0414f515-c669-4812-852c-72268fedfb9f_SiteId">
    <vt:lpwstr>3507759c-e2e6-4c6a-a439-ff05b0cf1dcc</vt:lpwstr>
  </property>
  <property fmtid="{D5CDD505-2E9C-101B-9397-08002B2CF9AE}" pid="7" name="MSIP_Label_0414f515-c669-4812-852c-72268fedfb9f_ActionId">
    <vt:lpwstr>c4e0ef9c-e414-476d-94ee-b1c15e14a65a</vt:lpwstr>
  </property>
  <property fmtid="{D5CDD505-2E9C-101B-9397-08002B2CF9AE}" pid="8" name="MSIP_Label_0414f515-c669-4812-852c-72268fedfb9f_ContentBits">
    <vt:lpwstr>0</vt:lpwstr>
  </property>
  <property fmtid="{D5CDD505-2E9C-101B-9397-08002B2CF9AE}" pid="9" name="ContentTypeId">
    <vt:lpwstr>0x010100DBC714B643F29E49B6662B00A53D6827</vt:lpwstr>
  </property>
</Properties>
</file>